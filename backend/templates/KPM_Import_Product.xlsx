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\Desktop\KPM\backend\templates\"/>
    </mc:Choice>
  </mc:AlternateContent>
  <xr:revisionPtr revIDLastSave="0" documentId="13_ncr:1_{0A5FCF98-B24D-4ACC-A859-75F97950C5A1}" xr6:coauthVersionLast="47" xr6:coauthVersionMax="47" xr10:uidLastSave="{00000000-0000-0000-0000-000000000000}"/>
  <bookViews>
    <workbookView xWindow="-108" yWindow="-108" windowWidth="23256" windowHeight="12456" xr2:uid="{EBB0906C-0CA5-40FD-8E8B-61911B6F40BC}"/>
  </bookViews>
  <sheets>
    <sheet name="KPM_Import_Product" sheetId="1" r:id="rId1"/>
    <sheet name="Import rules" sheetId="3" r:id="rId2"/>
    <sheet name="HiddenData" sheetId="2" state="hidden" r:id="rId3"/>
  </sheets>
  <definedNames>
    <definedName name="Cua">HiddenData!$E$5:$E$9</definedName>
    <definedName name="CuaSo">HiddenData!$E$10:$E$12</definedName>
    <definedName name="DanhSachCha">HiddenData!$A$1:$A$5</definedName>
    <definedName name="data_config">HiddenData!$E$1:$G$18</definedName>
    <definedName name="DataComponents">HiddenData!$E$1:$F$18</definedName>
    <definedName name="DSC">HiddenData!$A$1:$A$6</definedName>
    <definedName name="HangRao">HiddenData!$E$1:$E$4</definedName>
    <definedName name="List_MaDanhMuc">HiddenData!$A$1:$A$6</definedName>
    <definedName name="List_MDM">HiddenData!$A$1:$A$6</definedName>
    <definedName name="MaiNha">HiddenData!$E$13:$E$15</definedName>
    <definedName name="NhaTienChe">HiddenData!$E$19:$E$21</definedName>
    <definedName name="VatDung">HiddenData!$E$16:$E$18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5" i="1"/>
  <c r="F5" i="1"/>
  <c r="E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<sst xmlns="http://schemas.openxmlformats.org/spreadsheetml/2006/main" count="119" uniqueCount="109">
  <si>
    <t>Mã sản phẩm (*)</t>
  </si>
  <si>
    <t>Tên sản phẩm (*)</t>
  </si>
  <si>
    <t>Mã danh mục (*)</t>
  </si>
  <si>
    <t>Thông số kỹ thuật (JSON)</t>
  </si>
  <si>
    <t>Link ảnh chính</t>
  </si>
  <si>
    <t>Cổng sắt CNC 4 cánh họa tiết Trống Đồng</t>
  </si>
  <si>
    <t>CS-TRONGDONG-4C</t>
  </si>
  <si>
    <t>DM-CUA-C4C</t>
  </si>
  <si>
    <t>DM-HR-CNC</t>
  </si>
  <si>
    <t>(Cột A) TÊN CỘT</t>
  </si>
  <si>
    <t>(Cột B) BẮT BUỘC</t>
  </si>
  <si>
    <t>(Cột C) QUY TẮC NHẬP LIỆU</t>
  </si>
  <si>
    <t>(Cột D) VÍ DỤ MINH HỌA</t>
  </si>
  <si>
    <t>🔴 CÓ</t>
  </si>
  <si>
    <t>- Viết liền, không dấu, không chứa ký tự đặc biệt (trừ dấu gạch ngang).</t>
  </si>
  <si>
    <t>- Cấm trùng lặp với mã đã có trong Database.</t>
  </si>
  <si>
    <t>- Cấm trùng lặp ngay giữa các dòng trong cùng 1 file.</t>
  </si>
  <si>
    <t>SP-CNC-001</t>
  </si>
  <si>
    <t>- Nhập văn bản bình thường.</t>
  </si>
  <si>
    <t>- Khuyến khích ghi rõ tên gọi, đặc điểm để dễ tìm kiếm.</t>
  </si>
  <si>
    <t>⚪ KHÔNG</t>
  </si>
  <si>
    <t>- Phải viết đúng chuẩn cú pháp JSON.</t>
  </si>
  <si>
    <t>{"do_day": "10mm", "mau_son": "Đồng giả cổ"}</t>
  </si>
  <si>
    <t>- Dán trực tiếp đường link URL của ảnh (từ Cloudinary, Drive public, Website).</t>
  </si>
  <si>
    <t>- Lưu ý: Hệ thống sẽ tự động lưu ảnh vào DB khi duyệt.</t>
  </si>
  <si>
    <t>https://abc.com/anh-chinh.jpg</t>
  </si>
  <si>
    <t>Link ảnh phụ</t>
  </si>
  <si>
    <t>- Có thể nhập nhiều link ảnh cùng lúc.</t>
  </si>
  <si>
    <t>- Hệ thống sẽ tự động tách mảng.</t>
  </si>
  <si>
    <t>https://abc.com/anh1.jpg, https://abc.com/anh2.jpg</t>
  </si>
  <si>
    <r>
      <t xml:space="preserve">- </t>
    </r>
    <r>
      <rPr>
        <b/>
        <sz val="13"/>
        <color rgb="FF1F1F1F"/>
        <rFont val="Times New Roman"/>
        <family val="1"/>
      </rPr>
      <t>KHÔNG ĐƯỢC GÕ TAY.</t>
    </r>
  </si>
  <si>
    <r>
      <t xml:space="preserve">- Bắt buộc click vào ô và chọn mã từ </t>
    </r>
    <r>
      <rPr>
        <b/>
        <sz val="13"/>
        <color rgb="FF1F1F1F"/>
        <rFont val="Times New Roman"/>
        <family val="1"/>
      </rPr>
      <t>Danh sách xổ xuống (Dropdown)</t>
    </r>
    <r>
      <rPr>
        <sz val="13"/>
        <color rgb="FF1F1F1F"/>
        <rFont val="Times New Roman"/>
        <family val="1"/>
      </rPr>
      <t xml:space="preserve"> mà hệ thống đã cung cấp.</t>
    </r>
  </si>
  <si>
    <t>- Bắt buộc bọc trong dấu ngoặc nhọn { }.</t>
  </si>
  <si>
    <t>- Thuộc tính và Giá trị phải bọc trong dấu ngoặc kép " ".</t>
  </si>
  <si>
    <r>
      <t xml:space="preserve">- </t>
    </r>
    <r>
      <rPr>
        <b/>
        <sz val="13"/>
        <color rgb="FF1F1F1F"/>
        <rFont val="Times New Roman"/>
        <family val="1"/>
      </rPr>
      <t>Mỗi link cách nhau bằng một dấu phẩy ( , )</t>
    </r>
    <r>
      <rPr>
        <sz val="13"/>
        <color rgb="FF1F1F1F"/>
        <rFont val="Times New Roman"/>
        <family val="1"/>
      </rPr>
      <t>.</t>
    </r>
  </si>
  <si>
    <t>KPM (KHOA PHONG MATERIALS) - TEMPLATE NHẬP SẢN PHẨM HÀNG LOẠT</t>
  </si>
  <si>
    <t>"Lưu ý: Vui lòng đọc kỹ sheet [Hướng Dẫn Import] trước khi nhập liệu. Các cột có dấu () là bắt buộc nhập."</t>
  </si>
  <si>
    <t>Hàng rào sắt hộp</t>
  </si>
  <si>
    <t>Hàng rào CNC</t>
  </si>
  <si>
    <t>Hàng rào chống trộm</t>
  </si>
  <si>
    <t>Hàng rào lưới</t>
  </si>
  <si>
    <t>Cửa sắt</t>
  </si>
  <si>
    <t>Cửa nhôm Xingfa</t>
  </si>
  <si>
    <t>Cửa kéo Đài Loan</t>
  </si>
  <si>
    <t>Cửa cuốn</t>
  </si>
  <si>
    <t>Cửa 1 cánh</t>
  </si>
  <si>
    <t>Cửa sổ 1 cánh</t>
  </si>
  <si>
    <t>Cửa sổ 2 cánh</t>
  </si>
  <si>
    <t>Khung sắt bảo vệ</t>
  </si>
  <si>
    <t>Mái tôn</t>
  </si>
  <si>
    <t>Mái kính</t>
  </si>
  <si>
    <t>Mái vòm</t>
  </si>
  <si>
    <t>Bàn làm việc</t>
  </si>
  <si>
    <t>Ghế sắt</t>
  </si>
  <si>
    <t>Kệ trang trí</t>
  </si>
  <si>
    <t>Tên danh mục</t>
  </si>
  <si>
    <t>Giá phụ thu</t>
  </si>
  <si>
    <t>Cua</t>
  </si>
  <si>
    <t>HangRao</t>
  </si>
  <si>
    <t>CuaSo</t>
  </si>
  <si>
    <t>MaiNha</t>
  </si>
  <si>
    <t>VatDung</t>
  </si>
  <si>
    <t>Thành phần cấu tạo</t>
  </si>
  <si>
    <t>[{"name":"Thân hàng rào","length":2000,"width":1000,"height":0,"unit":"mm","default_material":""},{"name":"Mũi chông sắt","length":1000,"width":0,"height":0,"unit":"mm","default_material":""}]</t>
  </si>
  <si>
    <t>[{"name":"Khung viền bao","length":2000,"width":1000,"height":0,"unit":"mm","default_material":""},{"name":"Tấm thép cắt CNC","length":2000,"width":1000,"height":0,"unit":"mm","default_material":""}]</t>
  </si>
  <si>
    <t>[{"name":"Thân hàng rào","length":2000,"width":1000,"height":0,"unit":"mm","default_material":""},{"name":"Mũi giáo uốn cong","length":1000,"width":0,"height":0,"unit":"mm","default_material":""}]</t>
  </si>
  <si>
    <t>[{"name":"Khung cột","length":2000,"width":0,"height":0,"unit":"mm","default_material":""},{"name":"Lưới thép/B40","length":2000,"width":1000,"height":0,"unit":"mm","default_material":""}]</t>
  </si>
  <si>
    <t>[{"name":"Khung bao cửa","length":2200,"width":1000,"height":0,"unit":"mm","default_material":""},{"name":"Cánh sắt","length":2150,"width":950,"height":0,"unit":"mm","default_material":""}]</t>
  </si>
  <si>
    <t>[{"name":"Khung bao nhôm","length":2200,"width":1000,"height":0,"unit":"mm","default_material":""},{"name":"Cánh nhôm","length":2150,"width":950,"height":0,"unit":"mm","default_material":""},{"name":"Kính cường lực","length":2000,"width":800,"height":0,"unit":"mm","default_material":""}]</t>
  </si>
  <si>
    <t>[{"name":"Khung bao cửa","length":2200,"width":1000,"height":0,"unit":"mm","default_material":""},{"name":"Lá cửa kéo","length":2000,"width":100,"height":0,"unit":"mm","default_material":""},{"name":"Nhíp chéo","length":2000,"width":100,"height":0,"unit":"mm","default_material":""}]</t>
  </si>
  <si>
    <t>[{"name":"Trục cuốn","length":1000,"width":0,"height":0,"unit":"mm","default_material":""},{"name":"Nan cửa","length":2000,"width":1000,"height":0,"unit":"mm","default_material":""},{"name":"Hộp che kỹ thuật","length":1000,"width":300,"height":300,"unit":"mm","default_material":""}]</t>
  </si>
  <si>
    <t>[{"name":"Khung bao cửa","length":2200,"width":1000,"height":0,"unit":"mm","default_material":""},{"name":"Cánh cửa","length":2150,"width":950,"height":0,"unit":"mm","default_material":""}]</t>
  </si>
  <si>
    <t>[{"name":"Khung bao cửa sổ","length":1200,"width":800,"height":0,"unit":"mm","default_material":""},{"name":"Cánh cửa sổ","length":1150,"width":750,"height":0,"unit":"mm","default_material":""}]</t>
  </si>
  <si>
    <t>[{"name":"Khung bao cửa sổ","length":1200,"width":1200,"height":0,"unit":"mm","default_material":""},{"name":"Cánh cửa trái","length":1150,"width":550,"height":0,"unit":"mm","default_material":""},{"name":"Cánh cửa phải","length":1150,"width":550,"height":0,"unit":"mm","default_material":""}]</t>
  </si>
  <si>
    <t>[{"name":"Khung bảo vệ chống trộm","length":1200,"width":1200,"height":0,"unit":"mm","default_material":""}]</t>
  </si>
  <si>
    <t>[{"name":"Khung sườn chịu lực","length":5000,"width":3000,"height":0,"unit":"mm","default_material":""},{"name":"Tấm lợp tôn","length":5000,"width":3000,"height":0,"unit":"mm","default_material":""}]</t>
  </si>
  <si>
    <t>[{"name":"Khung sườn đỡ kính","length":5000,"width":3000,"height":0,"unit":"mm","default_material":""},{"name":"Kính cường lực lấy sáng","length":5000,"width":3000,"height":0,"unit":"mm","default_material":""}]</t>
  </si>
  <si>
    <t>[{"name":"Khung sườn uốn vòm","length":5000,"width":3000,"height":0,"unit":"mm","default_material":""},{"name":"Tấm lợp (Poly/Tôn)","length":5000,"width":3000,"height":0,"unit":"mm","default_material":""}]</t>
  </si>
  <si>
    <t>[{"name":"Khung chân bàn","length":1200,"width":600,"height":750,"unit":"mm","default_material":""},{"name":"Mặt bàn","length":1200,"width":600,"height":0,"unit":"mm","default_material":""}]</t>
  </si>
  <si>
    <t>[{"name":"Khung chân ghế","length":400,"width":400,"height":450,"unit":"mm","default_material":""},{"name":"Mặt ngồi","length":400,"width":400,"height":0,"unit":"mm","default_material":""}]</t>
  </si>
  <si>
    <t>[{"name":"Khung kệ đỡ","length":1000,"width":300,"height":1500,"unit":"mm","default_material":""},{"name":"Mặt đợt (Tầng)","length":1000,"width":300,"height":0,"unit":"mm","default_material":""}]</t>
  </si>
  <si>
    <t>NhaTienChe</t>
  </si>
  <si>
    <t>{"Chất liệu chính": "", "Quy cách sơn": "", "Bảo hành": ""}</t>
  </si>
  <si>
    <t>{"Công nghệ cắt": "CNC Laser", "Độ tinh xảo": "", "Xử lý bề mặt": ""}</t>
  </si>
  <si>
    <t>{"Kiểu dáng": "Mũi giáo uốn cong", "Độ an toàn": "Cao", "Bảo hành": ""}</t>
  </si>
  <si>
    <t>{"Loại lưới": "", "Quy cách ô lưới": "", "Xuất xứ": ""}</t>
  </si>
  <si>
    <t>{"Chất liệu khung": "", "Phụ kiện đi kèm": "Khóa, bản lề", "Quy cách sơn": ""}</t>
  </si>
  <si>
    <t>{"Hệ nhôm": "Xingfa hệ 55", "Tiêu chuẩn kính": "", "Phụ kiện đồng bộ": "Kinlong"}</t>
  </si>
  <si>
    <t>{"Thương hiệu": "", "Cơ chế hoạt động": "Kéo tay / Motor", "Màu sắc lá": ""}</t>
  </si>
  <si>
    <t>{"Công nghệ": "Đức / Úc", "Khe thoáng": "Có / Không", "Motor đi kèm": ""}</t>
  </si>
  <si>
    <t>{"Ứng dụng": "Cửa đi, cửa phòng", "Kiểu mở": "Mở quay", "Bảo hành": ""}</t>
  </si>
  <si>
    <t>{"Kiểu mở": "Mở hất / Mở quay", "Tiêu chuẩn kính": "", "Bản lề": "Chữ A"}</t>
  </si>
  <si>
    <t>{"Kiểu mở": "Mở lùa / Mở quay", "Chốt an toàn": "Có", "Bảo hành": ""}</t>
  </si>
  <si>
    <t>{"Đặc tính": "Chống cắt phá", "Kiểu dáng": "", "Vị trí lắp": "Cửa sổ, giếng trời"}</t>
  </si>
  <si>
    <t>{"Loại tôn": "Tôn lạnh / Tôn xốp", "Tính năng": "Chống nóng, cách âm", "Thương hiệu tôn": "Hoa Sen, Đông Á"}</t>
  </si>
  <si>
    <t>{"Đặc tính kính": "Cường lực / Dán an toàn", "Khả năng lấy sáng": "Tối đa", "Phụ kiện": "Chân nhện (Spider)"}</t>
  </si>
  <si>
    <t>{"Chất liệu lợp": "Polycarbonate / Tôn", "Khả năng uốn": "", "Độ bền màu": ""}</t>
  </si>
  <si>
    <t>{"Phong cách": "Hiện đại, Tối giản", "Tải trọng tối đa": "", "Ứng dụng": "Văn phòng, Tại nhà"}</t>
  </si>
  <si>
    <t>{"Tải trọng": "", "Khả năng xếp gọn": "Có / Không", "Đệm ngồi": ""}</t>
  </si>
  <si>
    <t>{"Số tầng": "", "Tải trọng mỗi tầng": "", "Màu sắc khung": ""}</t>
  </si>
  <si>
    <t>Nhà xưởng tiền chế</t>
  </si>
  <si>
    <t>[{"name":"Khung kèo thép","length":20000,"width":10000,"height":6000,"unit":"mm","default_material":""},{"name":"Tôn lợp mái","length":20000,"width":10000,"height":0,"unit":"mm","default_material":""},{"name":"Tôn bao che vách","length":20000,"width":6000,"height":0,"unit":"mm","default_material":""}]</t>
  </si>
  <si>
    <t>{"Tiêu chuẩn thiết kế": "TCVN 2737:2023", "Khẩu độ nhịp": "Từ 10m - 30m", "Khả năng chịu bão": "Cấp 12"}</t>
  </si>
  <si>
    <t>Nhà kho lắp ghép</t>
  </si>
  <si>
    <t>[{"name":"Khung sườn chịu lực","length":15000,"width":8000,"height":5000,"unit":"mm","default_material":""},{"name":"Sàn lửng/Tầng lửng","length":15000,"width":4000,"height":0,"unit":"mm","default_material":""},{"name":"Vách ngăn Panel","length":15000,"width":5000,"height":0,"unit":"mm","default_material":""}]</t>
  </si>
  <si>
    <t>{"Ứng dụng": "Lưu trữ hàng hóa Logistics", "Tải trọng sàn lửng": "500kg/m2", "Cách nhiệt": "Tốt (Tôn xốp Panel)"}</t>
  </si>
  <si>
    <t>Quán Cafe khung thép</t>
  </si>
  <si>
    <t>[{"name":"Khung chính chịu lực","length":10000,"width":5000,"height":3500,"unit":"mm","default_material":""},{"name":"Sàn Decking","length":10000,"width":5000,"height":0,"unit":"mm","default_material":""},{"name":"Hệ mái che (Kính/Tôn)","length":10000,"width":5000,"height":0,"unit":"mm","default_material":""}]</t>
  </si>
  <si>
    <t>{"Phong cách kiến trúc": "Industrial (Công nghiệp)", "Tính linh hoạt": "100% dễ tháo dời dời", "Bảo hành kết cấu": "10 năm"}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</si>
</sst>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charset val="163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charset val="163"/>
      <scheme val="minor"/>
    </font>
    <font>
      <b/>
      <sz val="18"/>
      <color theme="1"/>
      <name val="Aptos Narrow"/>
      <family val="2"/>
      <charset val="163"/>
      <scheme val="minor"/>
    </font>
    <font>
      <b/>
      <sz val="13.5"/>
      <color theme="1"/>
      <name val="Aptos Narrow"/>
      <family val="2"/>
      <charset val="163"/>
      <scheme val="minor"/>
    </font>
    <font>
      <b/>
      <sz val="11"/>
      <color rgb="FF1F1F1F"/>
      <name val="Times New Roman"/>
      <family val="1"/>
    </font>
    <font>
      <sz val="13"/>
      <color rgb="FF1F1F1F"/>
      <name val="Times New Roman"/>
      <family val="1"/>
    </font>
    <font>
      <b/>
      <sz val="19"/>
      <color rgb="FF1F1F1F"/>
      <name val="Times New Roman"/>
      <family val="1"/>
    </font>
    <font>
      <b/>
      <sz val="13"/>
      <color rgb="FF1F1F1F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5"/>
      <color theme="0"/>
      <name val="Times New Roman"/>
      <family val="1"/>
    </font>
    <font>
      <b/>
      <sz val="18"/>
      <color rgb="FF006764"/>
      <name val="Times New Roman"/>
      <family val="1"/>
    </font>
    <font>
      <sz val="8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764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 wrapText="1" readingOrder="1"/>
    </xf>
    <xf numFmtId="0" fontId="10" fillId="0" borderId="5" xfId="0" applyFont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wrapText="1"/>
    </xf>
    <xf numFmtId="0" fontId="0" fillId="0" borderId="5" xfId="0" applyBorder="1"/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764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AA68-EEFF-4341-82A7-53DBFC60E515}">
  <dimension ref="A1:S84"/>
  <sheetViews>
    <sheetView tabSelected="1" zoomScale="55" zoomScaleNormal="55" workbookViewId="0">
      <selection activeCell="F5" sqref="F5"/>
    </sheetView>
  </sheetViews>
  <sheetFormatPr defaultRowHeight="14.4"/>
  <cols>
    <col min="1" max="1" width="30.33203125" customWidth="1"/>
    <col min="2" max="2" width="46.88671875" customWidth="1"/>
    <col min="3" max="3" width="41.109375" customWidth="1"/>
    <col min="4" max="4" width="54.44140625" customWidth="1"/>
    <col min="5" max="5" width="100.5546875" bestFit="1" customWidth="1"/>
    <col min="6" max="6" width="91.6640625" bestFit="1" customWidth="1"/>
    <col min="7" max="7" width="33.44140625" customWidth="1"/>
    <col min="8" max="8" width="32.44140625" customWidth="1"/>
    <col min="9" max="9" width="33.77734375" customWidth="1"/>
    <col min="12" max="12" width="35.6640625" bestFit="1" customWidth="1"/>
  </cols>
  <sheetData>
    <row r="1" spans="1:19" ht="14.4" customHeight="1">
      <c r="A1" s="20" t="e" vm="1">
        <v>#VALUE!</v>
      </c>
      <c r="B1" s="23" t="s">
        <v>35</v>
      </c>
      <c r="C1" s="24"/>
      <c r="D1" s="24"/>
      <c r="E1" s="24"/>
      <c r="F1" s="24"/>
      <c r="G1" s="24"/>
      <c r="H1" s="24"/>
      <c r="I1" s="24"/>
    </row>
    <row r="2" spans="1:19" ht="31.2">
      <c r="A2" s="21"/>
      <c r="B2" s="23"/>
      <c r="C2" s="24"/>
      <c r="D2" s="24"/>
      <c r="E2" s="24"/>
      <c r="F2" s="24"/>
      <c r="G2" s="24"/>
      <c r="H2" s="24"/>
      <c r="I2" s="24"/>
      <c r="L2" s="1"/>
    </row>
    <row r="3" spans="1:19" ht="28.8" customHeight="1" thickBot="1">
      <c r="A3" s="22"/>
      <c r="B3" s="25" t="s">
        <v>36</v>
      </c>
      <c r="C3" s="26"/>
      <c r="D3" s="26"/>
      <c r="E3" s="26"/>
      <c r="F3" s="26"/>
      <c r="G3" s="26"/>
      <c r="H3" s="26"/>
      <c r="I3" s="26"/>
    </row>
    <row r="4" spans="1:19" ht="23.4">
      <c r="A4" s="14" t="s">
        <v>0</v>
      </c>
      <c r="B4" s="14" t="s">
        <v>1</v>
      </c>
      <c r="C4" s="14" t="s">
        <v>2</v>
      </c>
      <c r="D4" s="14" t="s">
        <v>55</v>
      </c>
      <c r="E4" s="14" t="s">
        <v>3</v>
      </c>
      <c r="F4" s="14" t="s">
        <v>62</v>
      </c>
      <c r="G4" s="14" t="s">
        <v>56</v>
      </c>
      <c r="H4" s="14" t="s">
        <v>4</v>
      </c>
      <c r="I4" s="14" t="s">
        <v>26</v>
      </c>
      <c r="L4" s="2"/>
      <c r="N4" s="2"/>
      <c r="O4" s="2"/>
      <c r="Q4" s="2"/>
      <c r="R4" s="2"/>
      <c r="S4" s="2"/>
    </row>
    <row r="5" spans="1:19" ht="24" customHeight="1">
      <c r="A5" s="16"/>
      <c r="B5" s="16"/>
      <c r="C5" s="16"/>
      <c r="D5" s="19"/>
      <c r="E5" s="19" t="str">
        <f>IF(ISBLANK(D5), "", VLOOKUP(D5, HiddenData!$E$1:$G$100, 3, FALSE))</f>
        <v/>
      </c>
      <c r="F5" s="15" t="str">
        <f>IF(ISBLANK(D5), "", VLOOKUP(D5, HiddenData!$E$1:$F$100, 2, FALSE))</f>
        <v/>
      </c>
      <c r="G5" s="15" t="str">
        <f>IF(AND(NOT(ISBLANK(A5)), NOT(ISBLANK(B5))), 1000000, "")</f>
        <v/>
      </c>
      <c r="H5" s="19"/>
      <c r="I5" s="19"/>
      <c r="L5" s="3"/>
      <c r="N5" s="3"/>
      <c r="O5" s="3"/>
      <c r="Q5" s="3"/>
      <c r="R5" s="3"/>
      <c r="S5" s="3"/>
    </row>
    <row r="6" spans="1:19" ht="23.4" customHeight="1">
      <c r="A6" s="16"/>
      <c r="B6" s="16"/>
      <c r="C6" s="16"/>
      <c r="E6" s="19" t="str">
        <f>IF(ISBLANK(D6), "", VLOOKUP(D6, HiddenData!$E$1:$G$100, 3, FALSE))</f>
        <v/>
      </c>
      <c r="F6" s="15" t="str">
        <f>IF(ISBLANK(D6), "", VLOOKUP(D6, HiddenData!$E$1:$F$100, 2, FALSE))</f>
        <v/>
      </c>
      <c r="G6" s="15" t="str">
        <f t="shared" ref="G6:G69" si="0">IF(AND(NOT(ISBLANK(A6)), NOT(ISBLANK(B6))), 1000000, "")</f>
        <v/>
      </c>
      <c r="H6" s="19"/>
      <c r="I6" s="19"/>
      <c r="L6" s="3"/>
      <c r="N6" s="3"/>
      <c r="O6" s="3"/>
      <c r="Q6" s="3"/>
      <c r="R6" s="3"/>
      <c r="S6" s="3"/>
    </row>
    <row r="7" spans="1:19" ht="23.4" customHeight="1">
      <c r="A7" s="16"/>
      <c r="B7" s="16"/>
      <c r="C7" s="16"/>
      <c r="D7" s="19"/>
      <c r="E7" s="19" t="str">
        <f>IF(ISBLANK(D7), "", VLOOKUP(D7, HiddenData!$E$1:$G$100, 3, FALSE))</f>
        <v/>
      </c>
      <c r="F7" s="15" t="str">
        <f>IF(ISBLANK(D7), "", VLOOKUP(D7, HiddenData!$E$1:$F$100, 2, FALSE))</f>
        <v/>
      </c>
      <c r="G7" s="15" t="str">
        <f t="shared" si="0"/>
        <v/>
      </c>
      <c r="H7" s="19"/>
      <c r="I7" s="19"/>
      <c r="L7" s="3"/>
      <c r="N7" s="3"/>
      <c r="Q7" s="3"/>
    </row>
    <row r="8" spans="1:19" ht="24" customHeight="1">
      <c r="A8" s="16"/>
      <c r="B8" s="16"/>
      <c r="C8" s="16"/>
      <c r="D8" s="19"/>
      <c r="E8" s="19" t="str">
        <f>IF(ISBLANK(D8), "", VLOOKUP(D8, HiddenData!$E$1:$G$100, 3, FALSE))</f>
        <v/>
      </c>
      <c r="F8" s="15" t="str">
        <f>IF(ISBLANK(D8), "", VLOOKUP(D8, HiddenData!$E$1:$F$100, 2, FALSE))</f>
        <v/>
      </c>
      <c r="G8" s="15" t="str">
        <f t="shared" si="0"/>
        <v/>
      </c>
      <c r="H8" s="19"/>
      <c r="I8" s="19"/>
      <c r="L8" s="3"/>
      <c r="O8" s="4"/>
      <c r="R8" s="4"/>
      <c r="S8" s="4"/>
    </row>
    <row r="9" spans="1:19" ht="24" customHeight="1">
      <c r="A9" s="16"/>
      <c r="B9" s="16"/>
      <c r="C9" s="16"/>
      <c r="D9" s="19"/>
      <c r="E9" s="19" t="str">
        <f>IF(ISBLANK(D9), "", VLOOKUP(D9, HiddenData!$E$1:$G$100, 3, FALSE))</f>
        <v/>
      </c>
      <c r="F9" s="15" t="str">
        <f>IF(ISBLANK(D9), "", VLOOKUP(D9, HiddenData!$E$1:$F$100, 2, FALSE))</f>
        <v/>
      </c>
      <c r="G9" s="15" t="str">
        <f t="shared" si="0"/>
        <v/>
      </c>
      <c r="H9" s="19"/>
      <c r="I9" s="19"/>
      <c r="N9" s="4"/>
      <c r="O9" s="3"/>
      <c r="Q9" s="4"/>
      <c r="R9" s="3"/>
      <c r="S9" s="3"/>
    </row>
    <row r="10" spans="1:19" ht="24.6" customHeight="1">
      <c r="A10" s="16"/>
      <c r="B10" s="16"/>
      <c r="C10" s="16"/>
      <c r="D10" s="19"/>
      <c r="E10" s="19" t="str">
        <f>IF(ISBLANK(D10), "", VLOOKUP(D10, HiddenData!$E$1:$G$100, 3, FALSE))</f>
        <v/>
      </c>
      <c r="F10" s="15" t="str">
        <f>IF(ISBLANK(D10), "", VLOOKUP(D10, HiddenData!$E$1:$F$100, 2, FALSE))</f>
        <v/>
      </c>
      <c r="G10" s="15" t="str">
        <f t="shared" si="0"/>
        <v/>
      </c>
      <c r="H10" s="19"/>
      <c r="I10" s="19"/>
      <c r="L10" s="4"/>
      <c r="N10" s="3"/>
      <c r="O10" s="3"/>
      <c r="Q10" s="3"/>
      <c r="R10" s="3"/>
      <c r="S10" s="3"/>
    </row>
    <row r="11" spans="1:19" ht="24" customHeight="1">
      <c r="A11" s="16"/>
      <c r="B11" s="16"/>
      <c r="C11" s="16"/>
      <c r="D11" s="19"/>
      <c r="E11" s="19" t="str">
        <f>IF(ISBLANK(D11), "", VLOOKUP(D11, HiddenData!$E$1:$G$100, 3, FALSE))</f>
        <v/>
      </c>
      <c r="F11" s="15" t="str">
        <f>IF(ISBLANK(D11), "", VLOOKUP(D11, HiddenData!$E$1:$F$100, 2, FALSE))</f>
        <v/>
      </c>
      <c r="G11" s="15" t="str">
        <f t="shared" si="0"/>
        <v/>
      </c>
      <c r="H11" s="19"/>
      <c r="I11" s="19"/>
      <c r="L11" s="3"/>
      <c r="N11" s="3"/>
      <c r="O11" s="3"/>
      <c r="Q11" s="3"/>
      <c r="S11" s="3"/>
    </row>
    <row r="12" spans="1:19" ht="23.4" customHeight="1">
      <c r="A12" s="16"/>
      <c r="B12" s="16"/>
      <c r="C12" s="16"/>
      <c r="D12" s="19"/>
      <c r="E12" s="19" t="str">
        <f>IF(ISBLANK(D12), "", VLOOKUP(D12, HiddenData!$E$1:$G$100, 3, FALSE))</f>
        <v/>
      </c>
      <c r="F12" s="15" t="str">
        <f>IF(ISBLANK(D12), "", VLOOKUP(D12, HiddenData!$E$1:$F$100, 2, FALSE))</f>
        <v/>
      </c>
      <c r="G12" s="15" t="str">
        <f t="shared" si="0"/>
        <v/>
      </c>
      <c r="H12" s="19"/>
      <c r="I12" s="19"/>
      <c r="L12" s="3"/>
      <c r="O12" s="3"/>
      <c r="Q12" s="3"/>
      <c r="R12" s="4"/>
    </row>
    <row r="13" spans="1:19" ht="24" customHeight="1">
      <c r="A13" s="16"/>
      <c r="B13" s="16"/>
      <c r="C13" s="16"/>
      <c r="D13" s="19"/>
      <c r="E13" s="19" t="str">
        <f>IF(ISBLANK(D13), "", VLOOKUP(D13, HiddenData!$E$1:$G$100, 3, FALSE))</f>
        <v/>
      </c>
      <c r="F13" s="15" t="str">
        <f>IF(ISBLANK(D13), "", VLOOKUP(D13, HiddenData!$E$1:$F$100, 2, FALSE))</f>
        <v/>
      </c>
      <c r="G13" s="15" t="str">
        <f t="shared" si="0"/>
        <v/>
      </c>
      <c r="H13" s="19"/>
      <c r="I13" s="19"/>
      <c r="L13" s="3"/>
      <c r="Q13" s="5"/>
      <c r="R13" s="3"/>
      <c r="S13" s="4"/>
    </row>
    <row r="14" spans="1:19" ht="24.6" customHeight="1">
      <c r="A14" s="16"/>
      <c r="B14" s="16"/>
      <c r="C14" s="16"/>
      <c r="D14" s="19"/>
      <c r="E14" s="19" t="str">
        <f>IF(ISBLANK(D14), "", VLOOKUP(D14, HiddenData!$E$1:$G$100, 3, FALSE))</f>
        <v/>
      </c>
      <c r="F14" s="15" t="str">
        <f>IF(ISBLANK(D14), "", VLOOKUP(D14, HiddenData!$E$1:$F$100, 2, FALSE))</f>
        <v/>
      </c>
      <c r="G14" s="15" t="str">
        <f t="shared" si="0"/>
        <v/>
      </c>
      <c r="H14" s="19"/>
      <c r="I14" s="19"/>
      <c r="O14" s="4"/>
      <c r="Q14" s="5"/>
      <c r="R14" s="3"/>
      <c r="S14" s="6"/>
    </row>
    <row r="15" spans="1:19" ht="16.8">
      <c r="A15" s="16"/>
      <c r="B15" s="16"/>
      <c r="C15" s="16"/>
      <c r="D15" s="19"/>
      <c r="E15" s="19" t="str">
        <f>IF(ISBLANK(D15), "", VLOOKUP(D15, HiddenData!$E$1:$G$100, 3, FALSE))</f>
        <v/>
      </c>
      <c r="F15" s="15" t="str">
        <f>IF(ISBLANK(D15), "", VLOOKUP(D15, HiddenData!$E$1:$F$100, 2, FALSE))</f>
        <v/>
      </c>
      <c r="G15" s="15" t="str">
        <f t="shared" si="0"/>
        <v/>
      </c>
      <c r="H15" s="19"/>
      <c r="I15" s="19"/>
      <c r="O15" s="3"/>
      <c r="R15" s="3"/>
      <c r="S15" s="7"/>
    </row>
    <row r="16" spans="1:19" ht="23.4" customHeight="1">
      <c r="A16" s="16"/>
      <c r="B16" s="16"/>
      <c r="C16" s="16"/>
      <c r="D16" s="19"/>
      <c r="E16" s="19" t="str">
        <f>IF(ISBLANK(D16), "", VLOOKUP(D16, HiddenData!$E$1:$G$100, 3, FALSE))</f>
        <v/>
      </c>
      <c r="F16" s="15" t="str">
        <f>IF(ISBLANK(D16), "", VLOOKUP(D16, HiddenData!$E$1:$F$100, 2, FALSE))</f>
        <v/>
      </c>
      <c r="G16" s="15" t="str">
        <f t="shared" si="0"/>
        <v/>
      </c>
      <c r="H16" s="19"/>
      <c r="I16" s="19"/>
      <c r="O16" s="3"/>
      <c r="Q16" s="4"/>
      <c r="R16" s="3"/>
    </row>
    <row r="17" spans="1:19" ht="23.4" customHeight="1">
      <c r="A17" s="16"/>
      <c r="B17" s="16"/>
      <c r="C17" s="16"/>
      <c r="D17" s="19"/>
      <c r="E17" s="19" t="str">
        <f>IF(ISBLANK(D17), "", VLOOKUP(D17, HiddenData!$E$1:$G$100, 3, FALSE))</f>
        <v/>
      </c>
      <c r="F17" s="15" t="str">
        <f>IF(ISBLANK(D17), "", VLOOKUP(D17, HiddenData!$E$1:$F$100, 2, FALSE))</f>
        <v/>
      </c>
      <c r="G17" s="15" t="str">
        <f t="shared" si="0"/>
        <v/>
      </c>
      <c r="H17" s="19"/>
      <c r="I17" s="19"/>
      <c r="O17" s="3"/>
      <c r="Q17" s="6"/>
      <c r="R17" s="3"/>
      <c r="S17" s="4"/>
    </row>
    <row r="18" spans="1:19" ht="23.4" customHeight="1">
      <c r="A18" s="16"/>
      <c r="B18" s="16"/>
      <c r="C18" s="16"/>
      <c r="D18" s="19"/>
      <c r="E18" s="19" t="str">
        <f>IF(ISBLANK(D18), "", VLOOKUP(D18, HiddenData!$E$1:$G$100, 3, FALSE))</f>
        <v/>
      </c>
      <c r="F18" s="15" t="str">
        <f>IF(ISBLANK(D18), "", VLOOKUP(D18, HiddenData!$E$1:$F$100, 2, FALSE))</f>
        <v/>
      </c>
      <c r="G18" s="15" t="str">
        <f t="shared" si="0"/>
        <v/>
      </c>
      <c r="H18" s="19"/>
      <c r="I18" s="19"/>
      <c r="O18" s="3"/>
      <c r="Q18" s="7"/>
      <c r="S18" s="3"/>
    </row>
    <row r="19" spans="1:19" ht="18">
      <c r="A19" s="16"/>
      <c r="B19" s="16"/>
      <c r="C19" s="16"/>
      <c r="D19" s="19"/>
      <c r="E19" s="19" t="str">
        <f>IF(ISBLANK(D19), "", VLOOKUP(D19, HiddenData!$E$1:$G$100, 3, FALSE))</f>
        <v/>
      </c>
      <c r="F19" s="15" t="str">
        <f>IF(ISBLANK(D19), "", VLOOKUP(D19, HiddenData!$E$1:$F$100, 2, FALSE))</f>
        <v/>
      </c>
      <c r="G19" s="15" t="str">
        <f t="shared" si="0"/>
        <v/>
      </c>
      <c r="H19" s="19"/>
      <c r="I19" s="19"/>
      <c r="R19" s="4"/>
      <c r="S19" s="3"/>
    </row>
    <row r="20" spans="1:19" ht="18">
      <c r="A20" s="16"/>
      <c r="B20" s="16"/>
      <c r="C20" s="16"/>
      <c r="D20" s="19"/>
      <c r="E20" s="19" t="str">
        <f>IF(ISBLANK(D20), "", VLOOKUP(D20, HiddenData!$E$1:$G$100, 3, FALSE))</f>
        <v/>
      </c>
      <c r="F20" s="15" t="str">
        <f>IF(ISBLANK(D20), "", VLOOKUP(D20, HiddenData!$E$1:$F$100, 2, FALSE))</f>
        <v/>
      </c>
      <c r="G20" s="15" t="str">
        <f t="shared" si="0"/>
        <v/>
      </c>
      <c r="H20" s="19"/>
      <c r="I20" s="19"/>
      <c r="O20" s="4"/>
      <c r="Q20" s="4"/>
      <c r="R20" s="3"/>
      <c r="S20" s="3"/>
    </row>
    <row r="21" spans="1:19" ht="16.8">
      <c r="A21" s="16"/>
      <c r="B21" s="16"/>
      <c r="C21" s="16"/>
      <c r="D21" s="19"/>
      <c r="E21" s="19" t="str">
        <f>IF(ISBLANK(D21), "", VLOOKUP(D21, HiddenData!$E$1:$G$100, 3, FALSE))</f>
        <v/>
      </c>
      <c r="F21" s="15" t="str">
        <f>IF(ISBLANK(D21), "", VLOOKUP(D21, HiddenData!$E$1:$F$100, 2, FALSE))</f>
        <v/>
      </c>
      <c r="G21" s="15" t="str">
        <f t="shared" si="0"/>
        <v/>
      </c>
      <c r="H21" s="19"/>
      <c r="I21" s="19"/>
      <c r="O21" s="3"/>
      <c r="Q21" s="3"/>
      <c r="R21" s="3"/>
    </row>
    <row r="22" spans="1:19" ht="24" customHeight="1">
      <c r="A22" s="16"/>
      <c r="B22" s="16"/>
      <c r="C22" s="16"/>
      <c r="D22" s="19"/>
      <c r="E22" s="19" t="str">
        <f>IF(ISBLANK(D22), "", VLOOKUP(D22, HiddenData!$E$1:$G$100, 3, FALSE))</f>
        <v/>
      </c>
      <c r="F22" s="15" t="str">
        <f>IF(ISBLANK(D22), "", VLOOKUP(D22, HiddenData!$E$1:$F$100, 2, FALSE))</f>
        <v/>
      </c>
      <c r="G22" s="15" t="str">
        <f t="shared" si="0"/>
        <v/>
      </c>
      <c r="H22" s="19"/>
      <c r="I22" s="19"/>
      <c r="O22" s="3"/>
      <c r="Q22" s="3"/>
      <c r="R22" s="3"/>
    </row>
    <row r="23" spans="1:19" ht="23.4" customHeight="1">
      <c r="A23" s="16"/>
      <c r="B23" s="16"/>
      <c r="C23" s="16"/>
      <c r="D23" s="19"/>
      <c r="E23" s="19" t="str">
        <f>IF(ISBLANK(D23), "", VLOOKUP(D23, HiddenData!$E$1:$G$100, 3, FALSE))</f>
        <v/>
      </c>
      <c r="F23" s="15" t="str">
        <f>IF(ISBLANK(D23), "", VLOOKUP(D23, HiddenData!$E$1:$F$100, 2, FALSE))</f>
        <v/>
      </c>
      <c r="G23" s="15" t="str">
        <f t="shared" si="0"/>
        <v/>
      </c>
      <c r="H23" s="19"/>
      <c r="I23" s="19"/>
      <c r="O23" s="3"/>
      <c r="Q23" s="3"/>
      <c r="R23" s="6"/>
    </row>
    <row r="24" spans="1:19" ht="16.8" customHeight="1">
      <c r="A24" s="16"/>
      <c r="B24" s="16"/>
      <c r="C24" s="16"/>
      <c r="D24" s="19"/>
      <c r="E24" s="19" t="str">
        <f>IF(ISBLANK(D24), "", VLOOKUP(D24, HiddenData!$E$1:$G$100, 3, FALSE))</f>
        <v/>
      </c>
      <c r="F24" s="15" t="str">
        <f>IF(ISBLANK(D24), "", VLOOKUP(D24, HiddenData!$E$1:$F$100, 2, FALSE))</f>
        <v/>
      </c>
      <c r="G24" s="15" t="str">
        <f t="shared" si="0"/>
        <v/>
      </c>
      <c r="H24" s="19"/>
      <c r="I24" s="19"/>
      <c r="O24" s="3"/>
      <c r="Q24" s="3"/>
      <c r="R24" s="7"/>
    </row>
    <row r="25" spans="1:19" ht="25.2" customHeight="1">
      <c r="A25" s="16"/>
      <c r="B25" s="16"/>
      <c r="C25" s="16"/>
      <c r="D25" s="19"/>
      <c r="E25" s="19" t="str">
        <f>IF(ISBLANK(D25), "", VLOOKUP(D25, HiddenData!$E$1:$G$100, 3, FALSE))</f>
        <v/>
      </c>
      <c r="F25" s="15" t="str">
        <f>IF(ISBLANK(D25), "", VLOOKUP(D25, HiddenData!$E$1:$F$100, 2, FALSE))</f>
        <v/>
      </c>
      <c r="G25" s="15" t="str">
        <f t="shared" si="0"/>
        <v/>
      </c>
      <c r="H25" s="19"/>
      <c r="I25" s="19"/>
    </row>
    <row r="26" spans="1:19" ht="24" customHeight="1">
      <c r="A26" s="16"/>
      <c r="B26" s="16"/>
      <c r="C26" s="16"/>
      <c r="D26" s="19"/>
      <c r="E26" s="19" t="str">
        <f>IF(ISBLANK(D26), "", VLOOKUP(D26, HiddenData!$E$1:$G$100, 3, FALSE))</f>
        <v/>
      </c>
      <c r="F26" s="15" t="str">
        <f>IF(ISBLANK(D26), "", VLOOKUP(D26, HiddenData!$E$1:$F$100, 2, FALSE))</f>
        <v/>
      </c>
      <c r="G26" s="15" t="str">
        <f t="shared" si="0"/>
        <v/>
      </c>
      <c r="H26" s="19"/>
      <c r="I26" s="19"/>
    </row>
    <row r="27" spans="1:19" ht="24.6" customHeight="1">
      <c r="A27" s="16"/>
      <c r="B27" s="16"/>
      <c r="C27" s="16"/>
      <c r="D27" s="19"/>
      <c r="E27" s="19" t="str">
        <f>IF(ISBLANK(D27), "", VLOOKUP(D27, HiddenData!$E$1:$G$100, 3, FALSE))</f>
        <v/>
      </c>
      <c r="F27" s="15" t="str">
        <f>IF(ISBLANK(D27), "", VLOOKUP(D27, HiddenData!$E$1:$F$100, 2, FALSE))</f>
        <v/>
      </c>
      <c r="G27" s="15" t="str">
        <f t="shared" si="0"/>
        <v/>
      </c>
      <c r="H27" s="19"/>
      <c r="I27" s="19"/>
    </row>
    <row r="28" spans="1:19" ht="24" customHeight="1">
      <c r="A28" s="16"/>
      <c r="B28" s="16"/>
      <c r="C28" s="16"/>
      <c r="D28" s="19"/>
      <c r="E28" s="19" t="str">
        <f>IF(ISBLANK(D28), "", VLOOKUP(D28, HiddenData!$E$1:$G$100, 3, FALSE))</f>
        <v/>
      </c>
      <c r="F28" s="15" t="str">
        <f>IF(ISBLANK(D28), "", VLOOKUP(D28, HiddenData!$E$1:$F$100, 2, FALSE))</f>
        <v/>
      </c>
      <c r="G28" s="15" t="str">
        <f t="shared" si="0"/>
        <v/>
      </c>
      <c r="H28" s="19"/>
      <c r="I28" s="19"/>
    </row>
    <row r="29" spans="1:19" ht="24.6" customHeight="1">
      <c r="A29" s="16"/>
      <c r="B29" s="16"/>
      <c r="C29" s="16"/>
      <c r="D29" s="19"/>
      <c r="E29" s="19" t="str">
        <f>IF(ISBLANK(D29), "", VLOOKUP(D29, HiddenData!$E$1:$G$100, 3, FALSE))</f>
        <v/>
      </c>
      <c r="F29" s="15" t="str">
        <f>IF(ISBLANK(D29), "", VLOOKUP(D29, HiddenData!$E$1:$F$100, 2, FALSE))</f>
        <v/>
      </c>
      <c r="G29" s="15" t="str">
        <f t="shared" si="0"/>
        <v/>
      </c>
      <c r="H29" s="19"/>
      <c r="I29" s="19"/>
    </row>
    <row r="30" spans="1:19" ht="16.8" customHeight="1">
      <c r="A30" s="16"/>
      <c r="B30" s="16"/>
      <c r="C30" s="16"/>
      <c r="D30" s="19"/>
      <c r="E30" s="19" t="str">
        <f>IF(ISBLANK(D30), "", VLOOKUP(D30, HiddenData!$E$1:$G$100, 3, FALSE))</f>
        <v/>
      </c>
      <c r="F30" s="15" t="str">
        <f>IF(ISBLANK(D30), "", VLOOKUP(D30, HiddenData!$E$1:$F$100, 2, FALSE))</f>
        <v/>
      </c>
      <c r="G30" s="15" t="str">
        <f t="shared" si="0"/>
        <v/>
      </c>
      <c r="H30" s="19"/>
      <c r="I30" s="19"/>
    </row>
    <row r="31" spans="1:19" ht="24.6" customHeight="1">
      <c r="A31" s="16"/>
      <c r="B31" s="16"/>
      <c r="C31" s="16"/>
      <c r="D31" s="19"/>
      <c r="E31" s="19" t="str">
        <f>IF(ISBLANK(D31), "", VLOOKUP(D31, HiddenData!$E$1:$G$100, 3, FALSE))</f>
        <v/>
      </c>
      <c r="F31" s="15" t="str">
        <f>IF(ISBLANK(D31), "", VLOOKUP(D31, HiddenData!$E$1:$F$100, 2, FALSE))</f>
        <v/>
      </c>
      <c r="G31" s="15" t="str">
        <f t="shared" si="0"/>
        <v/>
      </c>
      <c r="H31" s="19"/>
      <c r="I31" s="19"/>
    </row>
    <row r="32" spans="1:19" ht="16.8">
      <c r="A32" s="16"/>
      <c r="B32" s="16"/>
      <c r="C32" s="16"/>
      <c r="D32" s="19"/>
      <c r="E32" s="19" t="str">
        <f>IF(ISBLANK(D32), "", VLOOKUP(D32, HiddenData!$E$1:$G$100, 3, FALSE))</f>
        <v/>
      </c>
      <c r="F32" s="15" t="str">
        <f>IF(ISBLANK(D32), "", VLOOKUP(D32, HiddenData!$E$1:$F$100, 2, FALSE))</f>
        <v/>
      </c>
      <c r="G32" s="15" t="str">
        <f t="shared" si="0"/>
        <v/>
      </c>
      <c r="H32" s="19"/>
      <c r="I32" s="19"/>
    </row>
    <row r="33" spans="1:9" ht="16.8">
      <c r="A33" s="16"/>
      <c r="B33" s="16"/>
      <c r="C33" s="16"/>
      <c r="D33" s="19"/>
      <c r="E33" s="19" t="str">
        <f>IF(ISBLANK(D33), "", VLOOKUP(D33, HiddenData!$E$1:$G$100, 3, FALSE))</f>
        <v/>
      </c>
      <c r="F33" s="15" t="str">
        <f>IF(ISBLANK(D33), "", VLOOKUP(D33, HiddenData!$E$1:$F$100, 2, FALSE))</f>
        <v/>
      </c>
      <c r="G33" s="15" t="str">
        <f t="shared" si="0"/>
        <v/>
      </c>
      <c r="H33" s="19"/>
      <c r="I33" s="19"/>
    </row>
    <row r="34" spans="1:9" ht="23.4" customHeight="1">
      <c r="A34" s="16"/>
      <c r="B34" s="16"/>
      <c r="C34" s="16"/>
      <c r="D34" s="19"/>
      <c r="E34" s="19" t="str">
        <f>IF(ISBLANK(D34), "", VLOOKUP(D34, HiddenData!$E$1:$G$100, 3, FALSE))</f>
        <v/>
      </c>
      <c r="F34" s="15" t="str">
        <f>IF(ISBLANK(D34), "", VLOOKUP(D34, HiddenData!$E$1:$F$100, 2, FALSE))</f>
        <v/>
      </c>
      <c r="G34" s="15" t="str">
        <f t="shared" si="0"/>
        <v/>
      </c>
      <c r="H34" s="19"/>
      <c r="I34" s="19"/>
    </row>
    <row r="35" spans="1:9" ht="16.8">
      <c r="A35" s="16"/>
      <c r="B35" s="16"/>
      <c r="C35" s="16"/>
      <c r="D35" s="19"/>
      <c r="E35" s="19" t="str">
        <f>IF(ISBLANK(D35), "", VLOOKUP(D35, HiddenData!$E$1:$G$100, 3, FALSE))</f>
        <v/>
      </c>
      <c r="F35" s="15" t="str">
        <f>IF(ISBLANK(D35), "", VLOOKUP(D35, HiddenData!$E$1:$F$100, 2, FALSE))</f>
        <v/>
      </c>
      <c r="G35" s="15" t="str">
        <f t="shared" si="0"/>
        <v/>
      </c>
      <c r="H35" s="19"/>
      <c r="I35" s="19"/>
    </row>
    <row r="36" spans="1:9" ht="16.8">
      <c r="A36" s="16"/>
      <c r="B36" s="16"/>
      <c r="C36" s="16"/>
      <c r="D36" s="19"/>
      <c r="E36" s="19" t="str">
        <f>IF(ISBLANK(D36), "", VLOOKUP(D36, HiddenData!$E$1:$G$100, 3, FALSE))</f>
        <v/>
      </c>
      <c r="F36" s="15" t="str">
        <f>IF(ISBLANK(D36), "", VLOOKUP(D36, HiddenData!$E$1:$F$100, 2, FALSE))</f>
        <v/>
      </c>
      <c r="G36" s="15" t="str">
        <f t="shared" si="0"/>
        <v/>
      </c>
      <c r="H36" s="19"/>
      <c r="I36" s="19"/>
    </row>
    <row r="37" spans="1:9" ht="16.8">
      <c r="A37" s="16"/>
      <c r="B37" s="16"/>
      <c r="C37" s="16"/>
      <c r="D37" s="19"/>
      <c r="E37" s="19" t="str">
        <f>IF(ISBLANK(D37), "", VLOOKUP(D37, HiddenData!$E$1:$G$100, 3, FALSE))</f>
        <v/>
      </c>
      <c r="F37" s="15" t="str">
        <f>IF(ISBLANK(D37), "", VLOOKUP(D37, HiddenData!$E$1:$F$100, 2, FALSE))</f>
        <v/>
      </c>
      <c r="G37" s="15" t="str">
        <f t="shared" si="0"/>
        <v/>
      </c>
      <c r="H37" s="19"/>
      <c r="I37" s="19"/>
    </row>
    <row r="38" spans="1:9" ht="24" customHeight="1">
      <c r="A38" s="16"/>
      <c r="B38" s="16"/>
      <c r="C38" s="16"/>
      <c r="D38" s="19"/>
      <c r="E38" s="19" t="str">
        <f>IF(ISBLANK(D38), "", VLOOKUP(D38, HiddenData!$E$1:$G$100, 3, FALSE))</f>
        <v/>
      </c>
      <c r="F38" s="15" t="str">
        <f>IF(ISBLANK(D38), "", VLOOKUP(D38, HiddenData!$E$1:$F$100, 2, FALSE))</f>
        <v/>
      </c>
      <c r="G38" s="15" t="str">
        <f t="shared" si="0"/>
        <v/>
      </c>
      <c r="H38" s="19"/>
      <c r="I38" s="19"/>
    </row>
    <row r="39" spans="1:9" ht="16.8" customHeight="1">
      <c r="A39" s="16"/>
      <c r="B39" s="16"/>
      <c r="C39" s="16"/>
      <c r="D39" s="19"/>
      <c r="E39" s="19" t="str">
        <f>IF(ISBLANK(D39), "", VLOOKUP(D39, HiddenData!$E$1:$G$100, 3, FALSE))</f>
        <v/>
      </c>
      <c r="F39" s="15" t="str">
        <f>IF(ISBLANK(D39), "", VLOOKUP(D39, HiddenData!$E$1:$F$100, 2, FALSE))</f>
        <v/>
      </c>
      <c r="G39" s="15" t="str">
        <f t="shared" si="0"/>
        <v/>
      </c>
      <c r="H39" s="19"/>
      <c r="I39" s="19"/>
    </row>
    <row r="40" spans="1:9" ht="24.6" customHeight="1">
      <c r="A40" s="16"/>
      <c r="B40" s="16"/>
      <c r="C40" s="16"/>
      <c r="D40" s="19"/>
      <c r="E40" s="19" t="str">
        <f>IF(ISBLANK(D40), "", VLOOKUP(D40, HiddenData!$E$1:$G$100, 3, FALSE))</f>
        <v/>
      </c>
      <c r="F40" s="15" t="str">
        <f>IF(ISBLANK(D40), "", VLOOKUP(D40, HiddenData!$E$1:$F$100, 2, FALSE))</f>
        <v/>
      </c>
      <c r="G40" s="15" t="str">
        <f t="shared" si="0"/>
        <v/>
      </c>
      <c r="H40" s="19"/>
      <c r="I40" s="19"/>
    </row>
    <row r="41" spans="1:9" ht="24.6" customHeight="1">
      <c r="A41" s="16"/>
      <c r="B41" s="16"/>
      <c r="C41" s="16"/>
      <c r="D41" s="19"/>
      <c r="E41" s="19" t="str">
        <f>IF(ISBLANK(D41), "", VLOOKUP(D41, HiddenData!$E$1:$G$100, 3, FALSE))</f>
        <v/>
      </c>
      <c r="F41" s="15" t="str">
        <f>IF(ISBLANK(D41), "", VLOOKUP(D41, HiddenData!$E$1:$F$100, 2, FALSE))</f>
        <v/>
      </c>
      <c r="G41" s="15" t="str">
        <f t="shared" si="0"/>
        <v/>
      </c>
      <c r="H41" s="19"/>
      <c r="I41" s="19"/>
    </row>
    <row r="42" spans="1:9" ht="24.6" customHeight="1">
      <c r="A42" s="16"/>
      <c r="B42" s="16"/>
      <c r="C42" s="16"/>
      <c r="D42" s="19"/>
      <c r="E42" s="19" t="str">
        <f>IF(ISBLANK(D42), "", VLOOKUP(D42, HiddenData!$E$1:$G$100, 3, FALSE))</f>
        <v/>
      </c>
      <c r="F42" s="15" t="str">
        <f>IF(ISBLANK(D42), "", VLOOKUP(D42, HiddenData!$E$1:$F$100, 2, FALSE))</f>
        <v/>
      </c>
      <c r="G42" s="15" t="str">
        <f t="shared" si="0"/>
        <v/>
      </c>
      <c r="H42" s="19"/>
      <c r="I42" s="19"/>
    </row>
    <row r="43" spans="1:9" ht="24.6" customHeight="1">
      <c r="A43" s="16"/>
      <c r="B43" s="16"/>
      <c r="C43" s="16"/>
      <c r="D43" s="19"/>
      <c r="E43" s="19" t="str">
        <f>IF(ISBLANK(D43), "", VLOOKUP(D43, HiddenData!$E$1:$G$100, 3, FALSE))</f>
        <v/>
      </c>
      <c r="F43" s="15" t="str">
        <f>IF(ISBLANK(D43), "", VLOOKUP(D43, HiddenData!$E$1:$F$100, 2, FALSE))</f>
        <v/>
      </c>
      <c r="G43" s="15" t="str">
        <f t="shared" si="0"/>
        <v/>
      </c>
      <c r="H43" s="19"/>
      <c r="I43" s="19"/>
    </row>
    <row r="44" spans="1:9" ht="18" customHeight="1">
      <c r="A44" s="16"/>
      <c r="B44" s="16"/>
      <c r="C44" s="16"/>
      <c r="D44" s="19"/>
      <c r="E44" s="19" t="str">
        <f>IF(ISBLANK(D44), "", VLOOKUP(D44, HiddenData!$E$1:$G$100, 3, FALSE))</f>
        <v/>
      </c>
      <c r="F44" s="15" t="str">
        <f>IF(ISBLANK(D44), "", VLOOKUP(D44, HiddenData!$E$1:$F$100, 2, FALSE))</f>
        <v/>
      </c>
      <c r="G44" s="15" t="str">
        <f t="shared" si="0"/>
        <v/>
      </c>
      <c r="H44" s="19"/>
      <c r="I44" s="19"/>
    </row>
    <row r="45" spans="1:9" ht="20.399999999999999" customHeight="1">
      <c r="A45" s="16"/>
      <c r="B45" s="16"/>
      <c r="C45" s="16"/>
      <c r="D45" s="19"/>
      <c r="E45" s="19" t="str">
        <f>IF(ISBLANK(D45), "", VLOOKUP(D45, HiddenData!$E$1:$G$100, 3, FALSE))</f>
        <v/>
      </c>
      <c r="F45" s="15" t="str">
        <f>IF(ISBLANK(D45), "", VLOOKUP(D45, HiddenData!$E$1:$F$100, 2, FALSE))</f>
        <v/>
      </c>
      <c r="G45" s="15" t="str">
        <f t="shared" si="0"/>
        <v/>
      </c>
      <c r="H45" s="19"/>
      <c r="I45" s="19"/>
    </row>
    <row r="46" spans="1:9" ht="23.4" customHeight="1">
      <c r="A46" s="16"/>
      <c r="B46" s="16"/>
      <c r="C46" s="16"/>
      <c r="D46" s="19"/>
      <c r="E46" s="19" t="str">
        <f>IF(ISBLANK(D46), "", VLOOKUP(D46, HiddenData!$E$1:$G$100, 3, FALSE))</f>
        <v/>
      </c>
      <c r="F46" s="15" t="str">
        <f>IF(ISBLANK(D46), "", VLOOKUP(D46, HiddenData!$E$1:$F$100, 2, FALSE))</f>
        <v/>
      </c>
      <c r="G46" s="15" t="str">
        <f t="shared" si="0"/>
        <v/>
      </c>
      <c r="H46" s="19"/>
      <c r="I46" s="19"/>
    </row>
    <row r="47" spans="1:9" ht="23.4" customHeight="1">
      <c r="A47" s="16"/>
      <c r="B47" s="16"/>
      <c r="C47" s="16"/>
      <c r="D47" s="19"/>
      <c r="E47" s="19" t="str">
        <f>IF(ISBLANK(D47), "", VLOOKUP(D47, HiddenData!$E$1:$G$100, 3, FALSE))</f>
        <v/>
      </c>
      <c r="F47" s="15" t="str">
        <f>IF(ISBLANK(D47), "", VLOOKUP(D47, HiddenData!$E$1:$F$100, 2, FALSE))</f>
        <v/>
      </c>
      <c r="G47" s="15" t="str">
        <f t="shared" si="0"/>
        <v/>
      </c>
      <c r="H47" s="19"/>
      <c r="I47" s="19"/>
    </row>
    <row r="48" spans="1:9" ht="16.8">
      <c r="A48" s="16"/>
      <c r="B48" s="16"/>
      <c r="C48" s="16"/>
      <c r="D48" s="19"/>
      <c r="E48" s="19" t="str">
        <f>IF(ISBLANK(D48), "", VLOOKUP(D48, HiddenData!$E$1:$G$100, 3, FALSE))</f>
        <v/>
      </c>
      <c r="F48" s="15" t="str">
        <f>IF(ISBLANK(D48), "", VLOOKUP(D48, HiddenData!$E$1:$F$100, 2, FALSE))</f>
        <v/>
      </c>
      <c r="G48" s="15" t="str">
        <f t="shared" si="0"/>
        <v/>
      </c>
      <c r="H48" s="19"/>
      <c r="I48" s="19"/>
    </row>
    <row r="49" spans="1:9" ht="16.8">
      <c r="A49" s="16"/>
      <c r="B49" s="16"/>
      <c r="C49" s="16"/>
      <c r="D49" s="19"/>
      <c r="E49" s="19" t="str">
        <f>IF(ISBLANK(D49), "", VLOOKUP(D49, HiddenData!$E$1:$G$100, 3, FALSE))</f>
        <v/>
      </c>
      <c r="F49" s="15" t="str">
        <f>IF(ISBLANK(D49), "", VLOOKUP(D49, HiddenData!$E$1:$F$100, 2, FALSE))</f>
        <v/>
      </c>
      <c r="G49" s="15" t="str">
        <f t="shared" si="0"/>
        <v/>
      </c>
      <c r="I49" s="19"/>
    </row>
    <row r="50" spans="1:9" ht="16.8">
      <c r="A50" s="16"/>
      <c r="B50" s="16"/>
      <c r="C50" s="16"/>
      <c r="D50" s="19"/>
      <c r="E50" s="19" t="str">
        <f>IF(ISBLANK(D50), "", VLOOKUP(D50, HiddenData!$E$1:$G$100, 3, FALSE))</f>
        <v/>
      </c>
      <c r="F50" s="15" t="str">
        <f>IF(ISBLANK(D50), "", VLOOKUP(D50, HiddenData!$E$1:$F$100, 2, FALSE))</f>
        <v/>
      </c>
      <c r="G50" s="15" t="str">
        <f t="shared" si="0"/>
        <v/>
      </c>
      <c r="H50" s="19"/>
      <c r="I50" s="19"/>
    </row>
    <row r="51" spans="1:9" ht="16.8">
      <c r="A51" s="16"/>
      <c r="B51" s="16"/>
      <c r="C51" s="16"/>
      <c r="D51" s="19"/>
      <c r="E51" s="19" t="str">
        <f>IF(ISBLANK(D51), "", VLOOKUP(D51, HiddenData!$E$1:$G$100, 3, FALSE))</f>
        <v/>
      </c>
      <c r="F51" s="15" t="str">
        <f>IF(ISBLANK(D51), "", VLOOKUP(D51, HiddenData!$E$1:$F$100, 2, FALSE))</f>
        <v/>
      </c>
      <c r="G51" s="15" t="str">
        <f t="shared" si="0"/>
        <v/>
      </c>
      <c r="H51" s="19"/>
      <c r="I51" s="19"/>
    </row>
    <row r="52" spans="1:9" ht="16.8">
      <c r="A52" s="16"/>
      <c r="B52" s="16"/>
      <c r="C52" s="16"/>
      <c r="D52" s="19"/>
      <c r="E52" s="19" t="str">
        <f>IF(ISBLANK(D52), "", VLOOKUP(D52, HiddenData!$E$1:$G$100, 3, FALSE))</f>
        <v/>
      </c>
      <c r="F52" s="15" t="str">
        <f>IF(ISBLANK(D52), "", VLOOKUP(D52, HiddenData!$E$1:$F$100, 2, FALSE))</f>
        <v/>
      </c>
      <c r="G52" s="15" t="str">
        <f t="shared" si="0"/>
        <v/>
      </c>
      <c r="H52" s="19"/>
      <c r="I52" s="19"/>
    </row>
    <row r="53" spans="1:9" ht="16.8">
      <c r="A53" s="16"/>
      <c r="B53" s="16"/>
      <c r="C53" s="16"/>
      <c r="D53" s="19"/>
      <c r="E53" s="19" t="str">
        <f>IF(ISBLANK(D53), "", VLOOKUP(D53, HiddenData!$E$1:$G$100, 3, FALSE))</f>
        <v/>
      </c>
      <c r="F53" s="15" t="str">
        <f>IF(ISBLANK(D53), "", VLOOKUP(D53, HiddenData!$E$1:$F$100, 2, FALSE))</f>
        <v/>
      </c>
      <c r="G53" s="15" t="str">
        <f t="shared" si="0"/>
        <v/>
      </c>
      <c r="H53" s="19"/>
      <c r="I53" s="19"/>
    </row>
    <row r="54" spans="1:9" ht="16.8">
      <c r="A54" s="16"/>
      <c r="B54" s="16"/>
      <c r="C54" s="16"/>
      <c r="D54" s="19"/>
      <c r="E54" s="19" t="str">
        <f>IF(ISBLANK(D54), "", VLOOKUP(D54, HiddenData!$E$1:$G$100, 3, FALSE))</f>
        <v/>
      </c>
      <c r="F54" s="15" t="str">
        <f>IF(ISBLANK(D54), "", VLOOKUP(D54, HiddenData!$E$1:$F$100, 2, FALSE))</f>
        <v/>
      </c>
      <c r="G54" s="15" t="str">
        <f t="shared" si="0"/>
        <v/>
      </c>
      <c r="H54" s="19"/>
      <c r="I54" s="19"/>
    </row>
    <row r="55" spans="1:9" ht="16.8">
      <c r="A55" s="16"/>
      <c r="B55" s="16"/>
      <c r="C55" s="16"/>
      <c r="D55" s="19"/>
      <c r="E55" s="19" t="str">
        <f>IF(ISBLANK(D55), "", VLOOKUP(D55, HiddenData!$E$1:$G$100, 3, FALSE))</f>
        <v/>
      </c>
      <c r="F55" s="15" t="str">
        <f>IF(ISBLANK(D55), "", VLOOKUP(D55, HiddenData!$E$1:$F$100, 2, FALSE))</f>
        <v/>
      </c>
      <c r="G55" s="15" t="str">
        <f t="shared" si="0"/>
        <v/>
      </c>
      <c r="H55" s="19"/>
      <c r="I55" s="19"/>
    </row>
    <row r="56" spans="1:9" ht="16.8">
      <c r="A56" s="16"/>
      <c r="B56" s="16"/>
      <c r="C56" s="16"/>
      <c r="D56" s="19"/>
      <c r="E56" s="19" t="str">
        <f>IF(ISBLANK(D56), "", VLOOKUP(D56, HiddenData!$E$1:$G$100, 3, FALSE))</f>
        <v/>
      </c>
      <c r="F56" s="15" t="str">
        <f>IF(ISBLANK(D56), "", VLOOKUP(D56, HiddenData!$E$1:$F$100, 2, FALSE))</f>
        <v/>
      </c>
      <c r="G56" s="15" t="str">
        <f t="shared" si="0"/>
        <v/>
      </c>
      <c r="H56" s="19"/>
      <c r="I56" s="19"/>
    </row>
    <row r="57" spans="1:9" ht="16.8">
      <c r="A57" s="16"/>
      <c r="B57" s="16"/>
      <c r="C57" s="16"/>
      <c r="D57" s="19"/>
      <c r="E57" s="19" t="str">
        <f>IF(ISBLANK(D57), "", VLOOKUP(D57, HiddenData!$E$1:$G$100, 3, FALSE))</f>
        <v/>
      </c>
      <c r="F57" s="15" t="str">
        <f>IF(ISBLANK(D57), "", VLOOKUP(D57, HiddenData!$E$1:$F$100, 2, FALSE))</f>
        <v/>
      </c>
      <c r="G57" s="15" t="str">
        <f t="shared" si="0"/>
        <v/>
      </c>
      <c r="H57" s="19"/>
      <c r="I57" s="19"/>
    </row>
    <row r="58" spans="1:9" ht="16.8">
      <c r="A58" s="16"/>
      <c r="B58" s="16"/>
      <c r="C58" s="16"/>
      <c r="D58" s="19"/>
      <c r="E58" s="19" t="str">
        <f>IF(ISBLANK(D58), "", VLOOKUP(D58, HiddenData!$E$1:$G$100, 3, FALSE))</f>
        <v/>
      </c>
      <c r="F58" s="15" t="str">
        <f>IF(ISBLANK(D58), "", VLOOKUP(D58, HiddenData!$E$1:$F$100, 2, FALSE))</f>
        <v/>
      </c>
      <c r="G58" s="15" t="str">
        <f t="shared" si="0"/>
        <v/>
      </c>
      <c r="H58" s="19"/>
      <c r="I58" s="19"/>
    </row>
    <row r="59" spans="1:9" ht="16.8">
      <c r="A59" s="16"/>
      <c r="B59" s="16"/>
      <c r="C59" s="16"/>
      <c r="D59" s="19"/>
      <c r="E59" s="19" t="str">
        <f>IF(ISBLANK(D59), "", VLOOKUP(D59, HiddenData!$E$1:$G$100, 3, FALSE))</f>
        <v/>
      </c>
      <c r="F59" s="15" t="str">
        <f>IF(ISBLANK(D59), "", VLOOKUP(D59, HiddenData!$E$1:$F$100, 2, FALSE))</f>
        <v/>
      </c>
      <c r="G59" s="15" t="str">
        <f t="shared" si="0"/>
        <v/>
      </c>
      <c r="H59" s="19"/>
      <c r="I59" s="19"/>
    </row>
    <row r="60" spans="1:9" ht="16.8">
      <c r="A60" s="16"/>
      <c r="B60" s="16"/>
      <c r="C60" s="16"/>
      <c r="D60" s="19"/>
      <c r="E60" s="19" t="str">
        <f>IF(ISBLANK(D60), "", VLOOKUP(D60, HiddenData!$E$1:$G$100, 3, FALSE))</f>
        <v/>
      </c>
      <c r="F60" s="15" t="str">
        <f>IF(ISBLANK(D60), "", VLOOKUP(D60, HiddenData!$E$1:$F$100, 2, FALSE))</f>
        <v/>
      </c>
      <c r="G60" s="15" t="str">
        <f t="shared" si="0"/>
        <v/>
      </c>
      <c r="H60" s="19"/>
      <c r="I60" s="19"/>
    </row>
    <row r="61" spans="1:9" ht="16.8">
      <c r="A61" s="16"/>
      <c r="B61" s="16"/>
      <c r="C61" s="16"/>
      <c r="D61" s="19"/>
      <c r="E61" s="19" t="str">
        <f>IF(ISBLANK(D61), "", VLOOKUP(D61, HiddenData!$E$1:$G$100, 3, FALSE))</f>
        <v/>
      </c>
      <c r="F61" s="15" t="str">
        <f>IF(ISBLANK(D61), "", VLOOKUP(D61, HiddenData!$E$1:$F$100, 2, FALSE))</f>
        <v/>
      </c>
      <c r="G61" s="15" t="str">
        <f t="shared" si="0"/>
        <v/>
      </c>
      <c r="H61" s="19"/>
      <c r="I61" s="19"/>
    </row>
    <row r="62" spans="1:9" ht="16.8">
      <c r="A62" s="16"/>
      <c r="B62" s="16"/>
      <c r="C62" s="16"/>
      <c r="D62" s="19"/>
      <c r="E62" s="19" t="str">
        <f>IF(ISBLANK(D62), "", VLOOKUP(D62, HiddenData!$E$1:$G$100, 3, FALSE))</f>
        <v/>
      </c>
      <c r="F62" s="15" t="str">
        <f>IF(ISBLANK(D62), "", VLOOKUP(D62, HiddenData!$E$1:$F$100, 2, FALSE))</f>
        <v/>
      </c>
      <c r="G62" s="15" t="str">
        <f t="shared" si="0"/>
        <v/>
      </c>
      <c r="H62" s="19"/>
      <c r="I62" s="19"/>
    </row>
    <row r="63" spans="1:9" ht="16.8">
      <c r="A63" s="16"/>
      <c r="B63" s="16"/>
      <c r="C63" s="16"/>
      <c r="D63" s="19"/>
      <c r="E63" s="19" t="str">
        <f>IF(ISBLANK(D63), "", VLOOKUP(D63, HiddenData!$E$1:$G$100, 3, FALSE))</f>
        <v/>
      </c>
      <c r="F63" s="15" t="str">
        <f>IF(ISBLANK(D63), "", VLOOKUP(D63, HiddenData!$E$1:$F$100, 2, FALSE))</f>
        <v/>
      </c>
      <c r="G63" s="15" t="str">
        <f t="shared" si="0"/>
        <v/>
      </c>
      <c r="H63" s="19"/>
      <c r="I63" s="19"/>
    </row>
    <row r="64" spans="1:9" ht="16.8">
      <c r="A64" s="16"/>
      <c r="B64" s="16"/>
      <c r="C64" s="16"/>
      <c r="D64" s="19"/>
      <c r="E64" s="19" t="str">
        <f>IF(ISBLANK(D64), "", VLOOKUP(D64, HiddenData!$E$1:$G$100, 3, FALSE))</f>
        <v/>
      </c>
      <c r="F64" s="15" t="str">
        <f>IF(ISBLANK(D64), "", VLOOKUP(D64, HiddenData!$E$1:$F$100, 2, FALSE))</f>
        <v/>
      </c>
      <c r="G64" s="15" t="str">
        <f t="shared" si="0"/>
        <v/>
      </c>
      <c r="H64" s="19"/>
      <c r="I64" s="19"/>
    </row>
    <row r="65" spans="1:9" ht="16.8">
      <c r="A65" s="16"/>
      <c r="B65" s="16"/>
      <c r="C65" s="16"/>
      <c r="D65" s="19"/>
      <c r="E65" s="19" t="str">
        <f>IF(ISBLANK(D65), "", VLOOKUP(D65, HiddenData!$E$1:$G$100, 3, FALSE))</f>
        <v/>
      </c>
      <c r="F65" s="15" t="str">
        <f>IF(ISBLANK(D65), "", VLOOKUP(D65, HiddenData!$E$1:$F$100, 2, FALSE))</f>
        <v/>
      </c>
      <c r="G65" s="15" t="str">
        <f t="shared" si="0"/>
        <v/>
      </c>
      <c r="H65" s="19"/>
      <c r="I65" s="19"/>
    </row>
    <row r="66" spans="1:9" ht="16.8">
      <c r="A66" s="16"/>
      <c r="B66" s="16"/>
      <c r="C66" s="16"/>
      <c r="D66" s="19"/>
      <c r="E66" s="19" t="str">
        <f>IF(ISBLANK(D66), "", VLOOKUP(D66, HiddenData!$E$1:$G$100, 3, FALSE))</f>
        <v/>
      </c>
      <c r="F66" s="15" t="str">
        <f>IF(ISBLANK(D66), "", VLOOKUP(D66, HiddenData!$E$1:$F$100, 2, FALSE))</f>
        <v/>
      </c>
      <c r="G66" s="15" t="str">
        <f t="shared" si="0"/>
        <v/>
      </c>
      <c r="H66" s="19"/>
      <c r="I66" s="19"/>
    </row>
    <row r="67" spans="1:9" ht="16.8">
      <c r="A67" s="16"/>
      <c r="B67" s="16"/>
      <c r="C67" s="16"/>
      <c r="D67" s="19"/>
      <c r="E67" s="19" t="str">
        <f>IF(ISBLANK(D67), "", VLOOKUP(D67, HiddenData!$E$1:$G$100, 3, FALSE))</f>
        <v/>
      </c>
      <c r="F67" s="15" t="str">
        <f>IF(ISBLANK(D67), "", VLOOKUP(D67, HiddenData!$E$1:$F$100, 2, FALSE))</f>
        <v/>
      </c>
      <c r="G67" s="15" t="str">
        <f t="shared" si="0"/>
        <v/>
      </c>
      <c r="H67" s="19"/>
      <c r="I67" s="19"/>
    </row>
    <row r="68" spans="1:9" ht="16.8">
      <c r="A68" s="16"/>
      <c r="B68" s="16"/>
      <c r="C68" s="16"/>
      <c r="D68" s="19"/>
      <c r="E68" s="19" t="str">
        <f>IF(ISBLANK(D68), "", VLOOKUP(D68, HiddenData!$E$1:$G$100, 3, FALSE))</f>
        <v/>
      </c>
      <c r="F68" s="15" t="str">
        <f>IF(ISBLANK(D68), "", VLOOKUP(D68, HiddenData!$E$1:$F$100, 2, FALSE))</f>
        <v/>
      </c>
      <c r="G68" s="15" t="str">
        <f t="shared" si="0"/>
        <v/>
      </c>
      <c r="H68" s="19"/>
      <c r="I68" s="19"/>
    </row>
    <row r="69" spans="1:9" ht="16.8">
      <c r="A69" s="16"/>
      <c r="B69" s="16"/>
      <c r="C69" s="16"/>
      <c r="D69" s="19"/>
      <c r="E69" s="19" t="str">
        <f>IF(ISBLANK(D69), "", VLOOKUP(D69, HiddenData!$E$1:$G$100, 3, FALSE))</f>
        <v/>
      </c>
      <c r="F69" s="15" t="str">
        <f>IF(ISBLANK(D69), "", VLOOKUP(D69, HiddenData!$E$1:$F$100, 2, FALSE))</f>
        <v/>
      </c>
      <c r="G69" s="15" t="str">
        <f t="shared" si="0"/>
        <v/>
      </c>
      <c r="H69" s="19"/>
      <c r="I69" s="19"/>
    </row>
    <row r="70" spans="1:9" ht="16.8">
      <c r="A70" s="16"/>
      <c r="B70" s="16"/>
      <c r="C70" s="16"/>
      <c r="D70" s="19"/>
      <c r="E70" s="19" t="str">
        <f>IF(ISBLANK(D70), "", VLOOKUP(D70, HiddenData!$E$1:$G$100, 3, FALSE))</f>
        <v/>
      </c>
      <c r="F70" s="15" t="str">
        <f>IF(ISBLANK(D70), "", VLOOKUP(D70, HiddenData!$E$1:$F$100, 2, FALSE))</f>
        <v/>
      </c>
      <c r="G70" s="15" t="str">
        <f t="shared" ref="G70:G84" si="1">IF(AND(NOT(ISBLANK(A70)), NOT(ISBLANK(B70))), 1000000, "")</f>
        <v/>
      </c>
      <c r="H70" s="19"/>
      <c r="I70" s="19"/>
    </row>
    <row r="71" spans="1:9" ht="16.8">
      <c r="A71" s="16"/>
      <c r="B71" s="16"/>
      <c r="C71" s="16"/>
      <c r="D71" s="19"/>
      <c r="E71" s="19" t="str">
        <f>IF(ISBLANK(D71), "", VLOOKUP(D71, HiddenData!$E$1:$G$100, 3, FALSE))</f>
        <v/>
      </c>
      <c r="F71" s="15" t="str">
        <f>IF(ISBLANK(D71), "", VLOOKUP(D71, HiddenData!$E$1:$F$100, 2, FALSE))</f>
        <v/>
      </c>
      <c r="G71" s="15" t="str">
        <f t="shared" si="1"/>
        <v/>
      </c>
      <c r="H71" s="19"/>
      <c r="I71" s="19"/>
    </row>
    <row r="72" spans="1:9" ht="16.8">
      <c r="A72" s="16"/>
      <c r="B72" s="16"/>
      <c r="C72" s="16"/>
      <c r="D72" s="19"/>
      <c r="E72" s="19" t="str">
        <f>IF(ISBLANK(D72), "", VLOOKUP(D72, HiddenData!$E$1:$G$100, 3, FALSE))</f>
        <v/>
      </c>
      <c r="F72" s="15" t="str">
        <f>IF(ISBLANK(D72), "", VLOOKUP(D72, HiddenData!$E$1:$F$100, 2, FALSE))</f>
        <v/>
      </c>
      <c r="G72" s="15" t="str">
        <f t="shared" si="1"/>
        <v/>
      </c>
      <c r="H72" s="19"/>
      <c r="I72" s="19"/>
    </row>
    <row r="73" spans="1:9" ht="16.8">
      <c r="A73" s="16"/>
      <c r="B73" s="16"/>
      <c r="C73" s="16"/>
      <c r="D73" s="19"/>
      <c r="E73" s="19" t="str">
        <f>IF(ISBLANK(D73), "", VLOOKUP(D73, HiddenData!$E$1:$G$100, 3, FALSE))</f>
        <v/>
      </c>
      <c r="F73" s="15" t="str">
        <f>IF(ISBLANK(D73), "", VLOOKUP(D73, HiddenData!$E$1:$F$100, 2, FALSE))</f>
        <v/>
      </c>
      <c r="G73" s="15" t="str">
        <f t="shared" si="1"/>
        <v/>
      </c>
      <c r="H73" s="19"/>
      <c r="I73" s="19"/>
    </row>
    <row r="74" spans="1:9" ht="16.8">
      <c r="A74" s="16"/>
      <c r="B74" s="16"/>
      <c r="C74" s="16"/>
      <c r="D74" s="19"/>
      <c r="E74" s="19" t="str">
        <f>IF(ISBLANK(D74), "", VLOOKUP(D74, HiddenData!$E$1:$G$100, 3, FALSE))</f>
        <v/>
      </c>
      <c r="F74" s="15" t="str">
        <f>IF(ISBLANK(D74), "", VLOOKUP(D74, HiddenData!$E$1:$F$100, 2, FALSE))</f>
        <v/>
      </c>
      <c r="G74" s="15" t="str">
        <f t="shared" si="1"/>
        <v/>
      </c>
      <c r="H74" s="19"/>
      <c r="I74" s="19"/>
    </row>
    <row r="75" spans="1:9" ht="16.8">
      <c r="A75" s="16"/>
      <c r="B75" s="16"/>
      <c r="C75" s="16"/>
      <c r="D75" s="19"/>
      <c r="E75" s="19" t="str">
        <f>IF(ISBLANK(D75), "", VLOOKUP(D75, HiddenData!$E$1:$G$100, 3, FALSE))</f>
        <v/>
      </c>
      <c r="F75" s="15" t="str">
        <f>IF(ISBLANK(D75), "", VLOOKUP(D75, HiddenData!$E$1:$F$100, 2, FALSE))</f>
        <v/>
      </c>
      <c r="G75" s="15" t="str">
        <f t="shared" si="1"/>
        <v/>
      </c>
      <c r="H75" s="19"/>
      <c r="I75" s="19"/>
    </row>
    <row r="76" spans="1:9" ht="16.8">
      <c r="A76" s="16"/>
      <c r="B76" s="16"/>
      <c r="C76" s="16"/>
      <c r="D76" s="19"/>
      <c r="E76" s="19" t="str">
        <f>IF(ISBLANK(D76), "", VLOOKUP(D76, HiddenData!$E$1:$G$100, 3, FALSE))</f>
        <v/>
      </c>
      <c r="F76" s="15" t="str">
        <f>IF(ISBLANK(D76), "", VLOOKUP(D76, HiddenData!$E$1:$F$100, 2, FALSE))</f>
        <v/>
      </c>
      <c r="G76" s="15" t="str">
        <f t="shared" si="1"/>
        <v/>
      </c>
      <c r="H76" s="19"/>
      <c r="I76" s="19"/>
    </row>
    <row r="77" spans="1:9" ht="16.8">
      <c r="A77" s="16"/>
      <c r="B77" s="16"/>
      <c r="C77" s="16"/>
      <c r="D77" s="19"/>
      <c r="E77" s="19" t="str">
        <f>IF(ISBLANK(D77), "", VLOOKUP(D77, HiddenData!$E$1:$G$100, 3, FALSE))</f>
        <v/>
      </c>
      <c r="F77" s="15" t="str">
        <f>IF(ISBLANK(D77), "", VLOOKUP(D77, HiddenData!$E$1:$F$100, 2, FALSE))</f>
        <v/>
      </c>
      <c r="G77" s="15" t="str">
        <f t="shared" si="1"/>
        <v/>
      </c>
      <c r="H77" s="19"/>
      <c r="I77" s="19"/>
    </row>
    <row r="78" spans="1:9" ht="16.8">
      <c r="A78" s="16"/>
      <c r="B78" s="16"/>
      <c r="C78" s="16"/>
      <c r="D78" s="19"/>
      <c r="E78" s="19" t="str">
        <f>IF(ISBLANK(D78), "", VLOOKUP(D78, HiddenData!$E$1:$G$100, 3, FALSE))</f>
        <v/>
      </c>
      <c r="F78" s="15" t="str">
        <f>IF(ISBLANK(D78), "", VLOOKUP(D78, HiddenData!$E$1:$F$100, 2, FALSE))</f>
        <v/>
      </c>
      <c r="G78" s="15" t="str">
        <f t="shared" si="1"/>
        <v/>
      </c>
      <c r="H78" s="19"/>
      <c r="I78" s="19"/>
    </row>
    <row r="79" spans="1:9" ht="16.8">
      <c r="A79" s="16"/>
      <c r="B79" s="16"/>
      <c r="C79" s="16"/>
      <c r="D79" s="19"/>
      <c r="E79" s="19" t="str">
        <f>IF(ISBLANK(D79), "", VLOOKUP(D79, HiddenData!$E$1:$G$100, 3, FALSE))</f>
        <v/>
      </c>
      <c r="F79" s="15" t="str">
        <f>IF(ISBLANK(D79), "", VLOOKUP(D79, HiddenData!$E$1:$F$100, 2, FALSE))</f>
        <v/>
      </c>
      <c r="G79" s="15" t="str">
        <f t="shared" si="1"/>
        <v/>
      </c>
      <c r="H79" s="19"/>
      <c r="I79" s="19"/>
    </row>
    <row r="80" spans="1:9" ht="16.8">
      <c r="A80" s="16"/>
      <c r="B80" s="16"/>
      <c r="C80" s="16"/>
      <c r="D80" s="19"/>
      <c r="E80" s="19" t="str">
        <f>IF(ISBLANK(D80), "", VLOOKUP(D80, HiddenData!$E$1:$G$100, 3, FALSE))</f>
        <v/>
      </c>
      <c r="F80" s="15" t="str">
        <f>IF(ISBLANK(D80), "", VLOOKUP(D80, HiddenData!$E$1:$F$100, 2, FALSE))</f>
        <v/>
      </c>
      <c r="G80" s="15" t="str">
        <f t="shared" si="1"/>
        <v/>
      </c>
      <c r="H80" s="19"/>
      <c r="I80" s="19"/>
    </row>
    <row r="81" spans="1:9" ht="16.8">
      <c r="A81" s="16"/>
      <c r="B81" s="16"/>
      <c r="C81" s="16"/>
      <c r="D81" s="19"/>
      <c r="E81" s="19" t="str">
        <f>IF(ISBLANK(D81), "", VLOOKUP(D81, HiddenData!$E$1:$G$100, 3, FALSE))</f>
        <v/>
      </c>
      <c r="F81" s="15" t="str">
        <f>IF(ISBLANK(D81), "", VLOOKUP(D81, HiddenData!$E$1:$F$100, 2, FALSE))</f>
        <v/>
      </c>
      <c r="G81" s="15" t="str">
        <f t="shared" si="1"/>
        <v/>
      </c>
      <c r="H81" s="19"/>
      <c r="I81" s="19"/>
    </row>
    <row r="82" spans="1:9" ht="16.8">
      <c r="A82" s="16"/>
      <c r="B82" s="16"/>
      <c r="C82" s="16"/>
      <c r="D82" s="19"/>
      <c r="E82" s="19" t="str">
        <f>IF(ISBLANK(D82), "", VLOOKUP(D82, HiddenData!$E$1:$G$100, 3, FALSE))</f>
        <v/>
      </c>
      <c r="F82" s="15" t="str">
        <f>IF(ISBLANK(D82), "", VLOOKUP(D82, HiddenData!$E$1:$F$100, 2, FALSE))</f>
        <v/>
      </c>
      <c r="G82" s="15" t="str">
        <f t="shared" si="1"/>
        <v/>
      </c>
      <c r="H82" s="19"/>
      <c r="I82" s="19"/>
    </row>
    <row r="83" spans="1:9" ht="16.8">
      <c r="A83" s="16"/>
      <c r="B83" s="16"/>
      <c r="C83" s="16"/>
      <c r="D83" s="19"/>
      <c r="E83" s="19" t="str">
        <f>IF(ISBLANK(D83), "", VLOOKUP(D83, HiddenData!$E$1:$G$100, 3, FALSE))</f>
        <v/>
      </c>
      <c r="F83" s="15" t="str">
        <f>IF(ISBLANK(D83), "", VLOOKUP(D83, HiddenData!$E$1:$F$100, 2, FALSE))</f>
        <v/>
      </c>
      <c r="G83" s="15" t="str">
        <f t="shared" si="1"/>
        <v/>
      </c>
      <c r="H83" s="19"/>
      <c r="I83" s="19"/>
    </row>
    <row r="84" spans="1:9" ht="16.8">
      <c r="A84" s="16"/>
      <c r="B84" s="16"/>
      <c r="C84" s="16"/>
      <c r="D84" s="19"/>
      <c r="E84" s="19" t="str">
        <f>IF(ISBLANK(D84), "", VLOOKUP(D84, HiddenData!$E$1:$G$100, 3, FALSE))</f>
        <v/>
      </c>
      <c r="F84" s="15" t="str">
        <f>IF(ISBLANK(D84), "", VLOOKUP(D84, HiddenData!$E$1:$F$100, 2, FALSE))</f>
        <v/>
      </c>
      <c r="G84" s="15" t="str">
        <f t="shared" si="1"/>
        <v/>
      </c>
      <c r="H84" s="19"/>
      <c r="I84" s="19"/>
    </row>
  </sheetData>
  <mergeCells count="3">
    <mergeCell ref="A1:A3"/>
    <mergeCell ref="B1:I2"/>
    <mergeCell ref="B3:I3"/>
  </mergeCells>
  <phoneticPr fontId="14" type="noConversion"/>
  <dataValidations count="2">
    <dataValidation type="list" allowBlank="1" showInputMessage="1" showErrorMessage="1" sqref="D48:D84 D5" xr:uid="{6F6C420F-45A5-4EB5-ACA5-EA1278F75229}">
      <formula1>INDIRECT(SUBSTITUTE(C5, " ", ""))</formula1>
    </dataValidation>
    <dataValidation type="list" allowBlank="1" showInputMessage="1" showErrorMessage="1" sqref="C5:C84" xr:uid="{4D78EF3B-09E1-484B-9C1D-D414097EA9D6}">
      <formula1>DSC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D815-E5D9-4DAF-88C2-D539251B5076}">
  <dimension ref="A1:D25"/>
  <sheetViews>
    <sheetView zoomScale="70" zoomScaleNormal="70" workbookViewId="0">
      <selection activeCell="A2" sqref="A2:A6"/>
    </sheetView>
  </sheetViews>
  <sheetFormatPr defaultRowHeight="14.4"/>
  <cols>
    <col min="1" max="1" width="33.21875" customWidth="1"/>
    <col min="2" max="2" width="33.88671875" customWidth="1"/>
    <col min="3" max="3" width="51.109375" customWidth="1"/>
    <col min="4" max="4" width="48.77734375" customWidth="1"/>
  </cols>
  <sheetData>
    <row r="1" spans="1:4" ht="48.6" thickBot="1">
      <c r="A1" s="8" t="s">
        <v>9</v>
      </c>
      <c r="B1" s="8" t="s">
        <v>10</v>
      </c>
      <c r="C1" s="8" t="s">
        <v>11</v>
      </c>
      <c r="D1" s="8" t="s">
        <v>12</v>
      </c>
    </row>
    <row r="2" spans="1:4" ht="33.6">
      <c r="A2" s="27" t="s">
        <v>0</v>
      </c>
      <c r="B2" s="30" t="s">
        <v>13</v>
      </c>
      <c r="C2" s="9" t="s">
        <v>14</v>
      </c>
      <c r="D2" s="9" t="s">
        <v>17</v>
      </c>
    </row>
    <row r="3" spans="1:4" ht="16.8">
      <c r="A3" s="28"/>
      <c r="B3" s="31"/>
      <c r="C3" s="11"/>
      <c r="D3" s="11"/>
    </row>
    <row r="4" spans="1:4" ht="16.8">
      <c r="A4" s="28"/>
      <c r="B4" s="31"/>
      <c r="C4" s="10" t="s">
        <v>15</v>
      </c>
      <c r="D4" s="10" t="s">
        <v>6</v>
      </c>
    </row>
    <row r="5" spans="1:4" ht="16.8">
      <c r="A5" s="28"/>
      <c r="B5" s="31"/>
      <c r="C5" s="11"/>
      <c r="D5" s="11"/>
    </row>
    <row r="6" spans="1:4" ht="34.200000000000003" thickBot="1">
      <c r="A6" s="29"/>
      <c r="B6" s="32"/>
      <c r="C6" s="12" t="s">
        <v>16</v>
      </c>
      <c r="D6" s="13"/>
    </row>
    <row r="7" spans="1:4" ht="16.8">
      <c r="A7" s="27" t="s">
        <v>1</v>
      </c>
      <c r="B7" s="30" t="s">
        <v>13</v>
      </c>
      <c r="C7" s="9" t="s">
        <v>18</v>
      </c>
      <c r="D7" s="30" t="s">
        <v>5</v>
      </c>
    </row>
    <row r="8" spans="1:4" ht="16.8">
      <c r="A8" s="28"/>
      <c r="B8" s="31"/>
      <c r="C8" s="11"/>
      <c r="D8" s="31"/>
    </row>
    <row r="9" spans="1:4" ht="34.200000000000003" thickBot="1">
      <c r="A9" s="29"/>
      <c r="B9" s="32"/>
      <c r="C9" s="12" t="s">
        <v>19</v>
      </c>
      <c r="D9" s="32"/>
    </row>
    <row r="10" spans="1:4" ht="16.8">
      <c r="A10" s="27" t="s">
        <v>2</v>
      </c>
      <c r="B10" s="30" t="s">
        <v>13</v>
      </c>
      <c r="C10" s="9" t="s">
        <v>30</v>
      </c>
      <c r="D10" s="9" t="s">
        <v>7</v>
      </c>
    </row>
    <row r="11" spans="1:4" ht="16.8">
      <c r="A11" s="28"/>
      <c r="B11" s="31"/>
      <c r="C11" s="11"/>
      <c r="D11" s="11"/>
    </row>
    <row r="12" spans="1:4" ht="34.200000000000003" thickBot="1">
      <c r="A12" s="29"/>
      <c r="B12" s="32"/>
      <c r="C12" s="12" t="s">
        <v>31</v>
      </c>
      <c r="D12" s="12" t="s">
        <v>8</v>
      </c>
    </row>
    <row r="13" spans="1:4" ht="16.8">
      <c r="A13" s="33" t="s">
        <v>3</v>
      </c>
      <c r="B13" s="30" t="s">
        <v>20</v>
      </c>
      <c r="C13" s="9" t="s">
        <v>21</v>
      </c>
      <c r="D13" s="30" t="s">
        <v>22</v>
      </c>
    </row>
    <row r="14" spans="1:4" ht="16.8">
      <c r="A14" s="34"/>
      <c r="B14" s="31"/>
      <c r="C14" s="11"/>
      <c r="D14" s="31"/>
    </row>
    <row r="15" spans="1:4" ht="16.8">
      <c r="A15" s="34"/>
      <c r="B15" s="31"/>
      <c r="C15" s="10" t="s">
        <v>32</v>
      </c>
      <c r="D15" s="31"/>
    </row>
    <row r="16" spans="1:4" ht="16.8">
      <c r="A16" s="34"/>
      <c r="B16" s="31"/>
      <c r="C16" s="11"/>
      <c r="D16" s="31"/>
    </row>
    <row r="17" spans="1:4" ht="34.200000000000003" thickBot="1">
      <c r="A17" s="35"/>
      <c r="B17" s="32"/>
      <c r="C17" s="12" t="s">
        <v>33</v>
      </c>
      <c r="D17" s="32"/>
    </row>
    <row r="18" spans="1:4" ht="33.6">
      <c r="A18" s="33" t="s">
        <v>4</v>
      </c>
      <c r="B18" s="30" t="s">
        <v>20</v>
      </c>
      <c r="C18" s="9" t="s">
        <v>23</v>
      </c>
      <c r="D18" s="30" t="s">
        <v>25</v>
      </c>
    </row>
    <row r="19" spans="1:4" ht="16.8">
      <c r="A19" s="34"/>
      <c r="B19" s="31"/>
      <c r="C19" s="11"/>
      <c r="D19" s="31"/>
    </row>
    <row r="20" spans="1:4" ht="34.200000000000003" thickBot="1">
      <c r="A20" s="35"/>
      <c r="B20" s="32"/>
      <c r="C20" s="12" t="s">
        <v>24</v>
      </c>
      <c r="D20" s="32"/>
    </row>
    <row r="21" spans="1:4" ht="16.8">
      <c r="A21" s="33" t="s">
        <v>26</v>
      </c>
      <c r="B21" s="30" t="s">
        <v>20</v>
      </c>
      <c r="C21" s="9" t="s">
        <v>27</v>
      </c>
      <c r="D21" s="30" t="s">
        <v>29</v>
      </c>
    </row>
    <row r="22" spans="1:4" ht="16.8">
      <c r="A22" s="34"/>
      <c r="B22" s="31"/>
      <c r="C22" s="11"/>
      <c r="D22" s="31"/>
    </row>
    <row r="23" spans="1:4" ht="16.8">
      <c r="A23" s="34"/>
      <c r="B23" s="31"/>
      <c r="C23" s="10" t="s">
        <v>34</v>
      </c>
      <c r="D23" s="31"/>
    </row>
    <row r="24" spans="1:4" ht="16.8">
      <c r="A24" s="34"/>
      <c r="B24" s="31"/>
      <c r="C24" s="11"/>
      <c r="D24" s="31"/>
    </row>
    <row r="25" spans="1:4" ht="17.399999999999999" thickBot="1">
      <c r="A25" s="35"/>
      <c r="B25" s="32"/>
      <c r="C25" s="12" t="s">
        <v>28</v>
      </c>
      <c r="D25" s="32"/>
    </row>
  </sheetData>
  <sheetProtection sheet="1" objects="1" scenarios="1" selectLockedCells="1"/>
  <mergeCells count="16">
    <mergeCell ref="A2:A6"/>
    <mergeCell ref="B2:B6"/>
    <mergeCell ref="A7:A9"/>
    <mergeCell ref="B7:B9"/>
    <mergeCell ref="D7:D9"/>
    <mergeCell ref="A10:A12"/>
    <mergeCell ref="B10:B12"/>
    <mergeCell ref="A21:A25"/>
    <mergeCell ref="B21:B25"/>
    <mergeCell ref="D21:D25"/>
    <mergeCell ref="A13:A17"/>
    <mergeCell ref="B13:B17"/>
    <mergeCell ref="D13:D17"/>
    <mergeCell ref="A18:A20"/>
    <mergeCell ref="B18:B20"/>
    <mergeCell ref="D18:D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294A-4A86-4036-8E12-DD122DCB02E9}">
  <dimension ref="A1:G21"/>
  <sheetViews>
    <sheetView zoomScale="85" zoomScaleNormal="85" workbookViewId="0">
      <selection activeCell="G21" sqref="E19:G21"/>
    </sheetView>
  </sheetViews>
  <sheetFormatPr defaultRowHeight="14.4"/>
  <cols>
    <col min="1" max="1" width="9.77734375" bestFit="1" customWidth="1"/>
    <col min="5" max="5" width="21.5546875" bestFit="1" customWidth="1"/>
    <col min="6" max="6" width="79.5546875" bestFit="1" customWidth="1"/>
    <col min="7" max="7" width="66.109375" bestFit="1" customWidth="1"/>
  </cols>
  <sheetData>
    <row r="1" spans="1:7" ht="39" customHeight="1">
      <c r="A1" s="17" t="s">
        <v>58</v>
      </c>
      <c r="E1" s="17" t="s">
        <v>37</v>
      </c>
      <c r="F1" s="18" t="s">
        <v>63</v>
      </c>
      <c r="G1" t="s">
        <v>82</v>
      </c>
    </row>
    <row r="2" spans="1:7" ht="29.4" customHeight="1">
      <c r="A2" s="17" t="s">
        <v>57</v>
      </c>
      <c r="E2" s="17" t="s">
        <v>38</v>
      </c>
      <c r="F2" s="18" t="s">
        <v>64</v>
      </c>
      <c r="G2" t="s">
        <v>83</v>
      </c>
    </row>
    <row r="3" spans="1:7" ht="23.4" customHeight="1">
      <c r="A3" s="17" t="s">
        <v>59</v>
      </c>
      <c r="E3" s="17" t="s">
        <v>39</v>
      </c>
      <c r="F3" s="18" t="s">
        <v>65</v>
      </c>
      <c r="G3" t="s">
        <v>84</v>
      </c>
    </row>
    <row r="4" spans="1:7" ht="24" customHeight="1">
      <c r="A4" s="17" t="s">
        <v>60</v>
      </c>
      <c r="E4" s="17" t="s">
        <v>40</v>
      </c>
      <c r="F4" s="18" t="s">
        <v>66</v>
      </c>
      <c r="G4" t="s">
        <v>85</v>
      </c>
    </row>
    <row r="5" spans="1:7" ht="24" customHeight="1">
      <c r="A5" s="17" t="s">
        <v>61</v>
      </c>
      <c r="E5" s="17" t="s">
        <v>41</v>
      </c>
      <c r="F5" s="18" t="s">
        <v>67</v>
      </c>
      <c r="G5" t="s">
        <v>86</v>
      </c>
    </row>
    <row r="6" spans="1:7" ht="23.4" customHeight="1">
      <c r="A6" s="17" t="s">
        <v>81</v>
      </c>
      <c r="E6" s="17" t="s">
        <v>42</v>
      </c>
      <c r="F6" s="18" t="s">
        <v>68</v>
      </c>
      <c r="G6" t="s">
        <v>87</v>
      </c>
    </row>
    <row r="7" spans="1:7" ht="24" customHeight="1">
      <c r="E7" s="17" t="s">
        <v>43</v>
      </c>
      <c r="F7" s="18" t="s">
        <v>69</v>
      </c>
      <c r="G7" t="s">
        <v>88</v>
      </c>
    </row>
    <row r="8" spans="1:7" ht="24" customHeight="1">
      <c r="E8" s="17" t="s">
        <v>44</v>
      </c>
      <c r="F8" s="18" t="s">
        <v>70</v>
      </c>
      <c r="G8" t="s">
        <v>89</v>
      </c>
    </row>
    <row r="9" spans="1:7" ht="24" customHeight="1">
      <c r="E9" s="17" t="s">
        <v>45</v>
      </c>
      <c r="F9" s="18" t="s">
        <v>71</v>
      </c>
      <c r="G9" t="s">
        <v>90</v>
      </c>
    </row>
    <row r="10" spans="1:7" ht="24" customHeight="1">
      <c r="E10" s="17" t="s">
        <v>46</v>
      </c>
      <c r="F10" s="18" t="s">
        <v>72</v>
      </c>
      <c r="G10" t="s">
        <v>91</v>
      </c>
    </row>
    <row r="11" spans="1:7" ht="24" customHeight="1">
      <c r="E11" s="17" t="s">
        <v>47</v>
      </c>
      <c r="F11" s="18" t="s">
        <v>73</v>
      </c>
      <c r="G11" t="s">
        <v>92</v>
      </c>
    </row>
    <row r="12" spans="1:7" ht="24" customHeight="1">
      <c r="E12" s="17" t="s">
        <v>48</v>
      </c>
      <c r="F12" s="18" t="s">
        <v>74</v>
      </c>
      <c r="G12" t="s">
        <v>93</v>
      </c>
    </row>
    <row r="13" spans="1:7" ht="24" customHeight="1">
      <c r="E13" s="17" t="s">
        <v>49</v>
      </c>
      <c r="F13" s="18" t="s">
        <v>75</v>
      </c>
      <c r="G13" t="s">
        <v>94</v>
      </c>
    </row>
    <row r="14" spans="1:7" ht="24" customHeight="1">
      <c r="E14" s="17" t="s">
        <v>50</v>
      </c>
      <c r="F14" s="18" t="s">
        <v>76</v>
      </c>
      <c r="G14" t="s">
        <v>95</v>
      </c>
    </row>
    <row r="15" spans="1:7" ht="24" customHeight="1">
      <c r="E15" s="17" t="s">
        <v>51</v>
      </c>
      <c r="F15" s="18" t="s">
        <v>77</v>
      </c>
      <c r="G15" t="s">
        <v>96</v>
      </c>
    </row>
    <row r="16" spans="1:7" ht="24" customHeight="1">
      <c r="E16" s="17" t="s">
        <v>52</v>
      </c>
      <c r="F16" s="18" t="s">
        <v>78</v>
      </c>
      <c r="G16" t="s">
        <v>97</v>
      </c>
    </row>
    <row r="17" spans="5:7" ht="24.6" customHeight="1">
      <c r="E17" s="17" t="s">
        <v>53</v>
      </c>
      <c r="F17" s="18" t="s">
        <v>79</v>
      </c>
      <c r="G17" t="s">
        <v>98</v>
      </c>
    </row>
    <row r="18" spans="5:7" ht="23.4" customHeight="1">
      <c r="E18" s="17" t="s">
        <v>54</v>
      </c>
      <c r="F18" s="18" t="s">
        <v>80</v>
      </c>
      <c r="G18" t="s">
        <v>99</v>
      </c>
    </row>
    <row r="19" spans="5:7" ht="28.2" customHeight="1">
      <c r="E19" s="17" t="s">
        <v>100</v>
      </c>
      <c r="F19" s="18" t="s">
        <v>101</v>
      </c>
      <c r="G19" t="s">
        <v>102</v>
      </c>
    </row>
    <row r="20" spans="5:7" ht="30.6" customHeight="1">
      <c r="E20" s="17" t="s">
        <v>103</v>
      </c>
      <c r="F20" s="18" t="s">
        <v>104</v>
      </c>
      <c r="G20" t="s">
        <v>105</v>
      </c>
    </row>
    <row r="21" spans="5:7" ht="28.2" customHeight="1">
      <c r="E21" s="17" t="s">
        <v>106</v>
      </c>
      <c r="F21" s="18" t="s">
        <v>107</v>
      </c>
      <c r="G21" t="s">
        <v>108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7A018C-17DE-4F01-AD26-D7BEB43540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KPM_Import_Product</vt:lpstr>
      <vt:lpstr>Import rules</vt:lpstr>
      <vt:lpstr>HiddenData</vt:lpstr>
      <vt:lpstr>Cua</vt:lpstr>
      <vt:lpstr>CuaSo</vt:lpstr>
      <vt:lpstr>DanhSachCha</vt:lpstr>
      <vt:lpstr>data_config</vt:lpstr>
      <vt:lpstr>DataComponents</vt:lpstr>
      <vt:lpstr>DSC</vt:lpstr>
      <vt:lpstr>HangRao</vt:lpstr>
      <vt:lpstr>List_MaDanhMuc</vt:lpstr>
      <vt:lpstr>List_MDM</vt:lpstr>
      <vt:lpstr>MaiNha</vt:lpstr>
      <vt:lpstr>NhaTienChe</vt:lpstr>
      <vt:lpstr>VatDung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Phong</dc:creator>
  <cp:lastModifiedBy>Do Phong</cp:lastModifiedBy>
  <dcterms:created xsi:type="dcterms:W3CDTF">2026-05-25T08:52:11Z</dcterms:created>
  <dcterms:modified xsi:type="dcterms:W3CDTF">2026-06-29T12:26:13Z</dcterms:modified>
</cp:coreProperties>
</file>